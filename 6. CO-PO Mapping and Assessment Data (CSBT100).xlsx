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20" yWindow="-120" windowWidth="21840" windowHeight="13140"/>
  </bookViews>
  <sheets>
    <sheet name="INTERACTION-PAGE" sheetId="5" r:id="rId1"/>
    <sheet name="CO_ATTAINMENT" sheetId="1" r:id="rId2"/>
    <sheet name="PO_ATTAINMENT" sheetId="4" r:id="rId3"/>
  </sheets>
  <externalReferences>
    <externalReference r:id="rId4"/>
  </externalReferences>
  <definedNames>
    <definedName name="_xlnm._FilterDatabase" localSheetId="1" hidden="1">CO_ATTAINMENT!#REF!</definedName>
    <definedName name="_xlnm._FilterDatabase" localSheetId="0" hidden="1">'INTERACTION-PAGE'!#REF!</definedName>
    <definedName name="D">[1]Sheet1!$A$1:$A$10</definedName>
    <definedName name="_xlnm.Print_Area" localSheetId="1">CO_ATTAINMENT!$A$4:$AE$136</definedName>
    <definedName name="_xlnm.Print_Area" localSheetId="0">'INTERACTION-PAGE'!$A$4:$AE$136</definedName>
    <definedName name="_xlnm.Print_Titles" localSheetId="1">CO_ATTAINMENT!$4:$10</definedName>
    <definedName name="_xlnm.Print_Titles" localSheetId="0">'INTERACTION-PAGE'!$4:$10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0" i="5"/>
  <c r="Z10" l="1"/>
  <c r="AA10"/>
  <c r="AC10"/>
  <c r="AD10"/>
  <c r="E10" i="1" l="1"/>
  <c r="F10"/>
  <c r="C11"/>
  <c r="C12"/>
  <c r="C13"/>
  <c r="C14"/>
  <c r="C15"/>
  <c r="C16"/>
  <c r="B10" i="4"/>
  <c r="C10"/>
  <c r="D10"/>
  <c r="E10"/>
  <c r="F10"/>
  <c r="G10"/>
  <c r="H10"/>
  <c r="I10"/>
  <c r="J10"/>
  <c r="K10"/>
  <c r="L10"/>
  <c r="M10"/>
  <c r="N10"/>
  <c r="O10"/>
  <c r="P10"/>
  <c r="B11"/>
  <c r="C11"/>
  <c r="D11"/>
  <c r="E11"/>
  <c r="F11"/>
  <c r="G11"/>
  <c r="H11"/>
  <c r="I11"/>
  <c r="J11"/>
  <c r="K11"/>
  <c r="L11"/>
  <c r="M11"/>
  <c r="N11"/>
  <c r="O11"/>
  <c r="P11"/>
  <c r="B12"/>
  <c r="C12"/>
  <c r="D12"/>
  <c r="E12"/>
  <c r="F12"/>
  <c r="G12"/>
  <c r="H12"/>
  <c r="I12"/>
  <c r="J12"/>
  <c r="K12"/>
  <c r="L12"/>
  <c r="M12"/>
  <c r="N12"/>
  <c r="O12"/>
  <c r="P12"/>
  <c r="B13"/>
  <c r="C13"/>
  <c r="D13"/>
  <c r="E13"/>
  <c r="F13"/>
  <c r="G13"/>
  <c r="H13"/>
  <c r="I13"/>
  <c r="J13"/>
  <c r="K13"/>
  <c r="L13"/>
  <c r="M13"/>
  <c r="N13"/>
  <c r="O13"/>
  <c r="P13"/>
  <c r="C9"/>
  <c r="D9"/>
  <c r="E9"/>
  <c r="F9"/>
  <c r="G9"/>
  <c r="H9"/>
  <c r="I9"/>
  <c r="J9"/>
  <c r="K9"/>
  <c r="L9"/>
  <c r="M9"/>
  <c r="N9"/>
  <c r="O9"/>
  <c r="P9"/>
  <c r="B9"/>
  <c r="Y141" i="5"/>
  <c r="AD6" i="1"/>
  <c r="Z6"/>
  <c r="O5" i="4" s="1"/>
  <c r="K6" i="1"/>
  <c r="G6"/>
  <c r="I4" i="4" s="1"/>
  <c r="C6" i="1"/>
  <c r="C4" i="4" s="1"/>
  <c r="C5" i="1"/>
  <c r="F2" i="4" s="1"/>
  <c r="Z5" i="1"/>
  <c r="C5" i="4" s="1"/>
  <c r="I5" i="1"/>
  <c r="C3" i="4" s="1"/>
  <c r="A4" i="1"/>
  <c r="A1" i="4" s="1"/>
  <c r="G10" i="1"/>
  <c r="H10"/>
  <c r="I10"/>
  <c r="J10"/>
  <c r="K10"/>
  <c r="L10"/>
  <c r="M10"/>
  <c r="N10"/>
  <c r="O10"/>
  <c r="P10"/>
  <c r="Q10"/>
  <c r="R10"/>
  <c r="S10"/>
  <c r="T10"/>
  <c r="U10"/>
  <c r="V10"/>
  <c r="W10"/>
  <c r="X10"/>
  <c r="E2"/>
  <c r="E3"/>
  <c r="E1"/>
  <c r="N2"/>
  <c r="N1"/>
  <c r="C3"/>
  <c r="C2"/>
  <c r="C1"/>
  <c r="E11"/>
  <c r="B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B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B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B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B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B17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B18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B19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B20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B21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B22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B23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B24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B25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B26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B27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B28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B29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B30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B31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B32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B33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B34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B35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B36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B37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B38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B39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B40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B41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B42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B43"/>
  <c r="C43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B44"/>
  <c r="C44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W44"/>
  <c r="X44"/>
  <c r="B45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B46"/>
  <c r="C46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B47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B48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B49"/>
  <c r="C49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B50"/>
  <c r="C50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B51"/>
  <c r="C51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B52"/>
  <c r="C52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B53"/>
  <c r="C53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W53"/>
  <c r="X53"/>
  <c r="B54"/>
  <c r="C54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B55"/>
  <c r="C55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B56"/>
  <c r="C56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B57"/>
  <c r="C57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B58"/>
  <c r="C58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B59"/>
  <c r="C59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W59"/>
  <c r="X59"/>
  <c r="B60"/>
  <c r="C60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B61"/>
  <c r="C61"/>
  <c r="D61"/>
  <c r="E61"/>
  <c r="F61"/>
  <c r="G61"/>
  <c r="H61"/>
  <c r="I61"/>
  <c r="J61"/>
  <c r="K61"/>
  <c r="L61"/>
  <c r="M61"/>
  <c r="N61"/>
  <c r="O61"/>
  <c r="P61"/>
  <c r="Q61"/>
  <c r="R61"/>
  <c r="S61"/>
  <c r="T61"/>
  <c r="U61"/>
  <c r="V61"/>
  <c r="W61"/>
  <c r="X61"/>
  <c r="B62"/>
  <c r="C62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B63"/>
  <c r="C63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B64"/>
  <c r="C64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B65"/>
  <c r="C65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B66"/>
  <c r="C66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B67"/>
  <c r="C67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B68"/>
  <c r="C68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B69"/>
  <c r="C69"/>
  <c r="D69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B70"/>
  <c r="C70"/>
  <c r="D70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B71"/>
  <c r="C71"/>
  <c r="D71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B72"/>
  <c r="C72"/>
  <c r="D72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B73"/>
  <c r="C73"/>
  <c r="D73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B74"/>
  <c r="C74"/>
  <c r="D74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B75"/>
  <c r="C75"/>
  <c r="D75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B76"/>
  <c r="C76"/>
  <c r="D76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B77"/>
  <c r="C77"/>
  <c r="D77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B78"/>
  <c r="C78"/>
  <c r="D78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B79"/>
  <c r="C79"/>
  <c r="D79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B80"/>
  <c r="C80"/>
  <c r="D80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B81"/>
  <c r="C81"/>
  <c r="D81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B82"/>
  <c r="C82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B83"/>
  <c r="C83"/>
  <c r="D83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B84"/>
  <c r="C84"/>
  <c r="D84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B85"/>
  <c r="C85"/>
  <c r="D85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B86"/>
  <c r="C86"/>
  <c r="D86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B87"/>
  <c r="C87"/>
  <c r="D87"/>
  <c r="E87"/>
  <c r="F87"/>
  <c r="G87"/>
  <c r="H87"/>
  <c r="I87"/>
  <c r="J87"/>
  <c r="K87"/>
  <c r="L87"/>
  <c r="M87"/>
  <c r="N87"/>
  <c r="O87"/>
  <c r="P87"/>
  <c r="Q87"/>
  <c r="R87"/>
  <c r="S87"/>
  <c r="T87"/>
  <c r="U87"/>
  <c r="V87"/>
  <c r="W87"/>
  <c r="X87"/>
  <c r="B88"/>
  <c r="C88"/>
  <c r="D88"/>
  <c r="E88"/>
  <c r="F88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B89"/>
  <c r="C89"/>
  <c r="D89"/>
  <c r="E89"/>
  <c r="F89"/>
  <c r="G89"/>
  <c r="H89"/>
  <c r="I89"/>
  <c r="J89"/>
  <c r="K89"/>
  <c r="L89"/>
  <c r="M89"/>
  <c r="N89"/>
  <c r="O89"/>
  <c r="P89"/>
  <c r="Q89"/>
  <c r="R89"/>
  <c r="S89"/>
  <c r="T89"/>
  <c r="U89"/>
  <c r="V89"/>
  <c r="W89"/>
  <c r="X89"/>
  <c r="B90"/>
  <c r="C90"/>
  <c r="D90"/>
  <c r="E90"/>
  <c r="F90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B91"/>
  <c r="C91"/>
  <c r="D91"/>
  <c r="E91"/>
  <c r="F91"/>
  <c r="G91"/>
  <c r="H91"/>
  <c r="I91"/>
  <c r="J91"/>
  <c r="K91"/>
  <c r="L91"/>
  <c r="M91"/>
  <c r="N91"/>
  <c r="O91"/>
  <c r="P91"/>
  <c r="Q91"/>
  <c r="R91"/>
  <c r="S91"/>
  <c r="T91"/>
  <c r="U91"/>
  <c r="V91"/>
  <c r="W91"/>
  <c r="X91"/>
  <c r="B92"/>
  <c r="C92"/>
  <c r="D92"/>
  <c r="E92"/>
  <c r="F92"/>
  <c r="G92"/>
  <c r="H92"/>
  <c r="I92"/>
  <c r="J92"/>
  <c r="K92"/>
  <c r="L92"/>
  <c r="M92"/>
  <c r="N92"/>
  <c r="O92"/>
  <c r="P92"/>
  <c r="Q92"/>
  <c r="R92"/>
  <c r="S92"/>
  <c r="T92"/>
  <c r="U92"/>
  <c r="V92"/>
  <c r="W92"/>
  <c r="X92"/>
  <c r="B93"/>
  <c r="C93"/>
  <c r="D93"/>
  <c r="E93"/>
  <c r="F93"/>
  <c r="G93"/>
  <c r="H93"/>
  <c r="I93"/>
  <c r="J93"/>
  <c r="K93"/>
  <c r="L93"/>
  <c r="M93"/>
  <c r="N93"/>
  <c r="O93"/>
  <c r="P93"/>
  <c r="Q93"/>
  <c r="R93"/>
  <c r="S93"/>
  <c r="T93"/>
  <c r="U93"/>
  <c r="V93"/>
  <c r="W93"/>
  <c r="X93"/>
  <c r="B94"/>
  <c r="C94"/>
  <c r="D94"/>
  <c r="E94"/>
  <c r="F94"/>
  <c r="G94"/>
  <c r="H94"/>
  <c r="I94"/>
  <c r="J94"/>
  <c r="K94"/>
  <c r="L94"/>
  <c r="M94"/>
  <c r="N94"/>
  <c r="O94"/>
  <c r="P94"/>
  <c r="Q94"/>
  <c r="R94"/>
  <c r="S94"/>
  <c r="T94"/>
  <c r="U94"/>
  <c r="V94"/>
  <c r="W94"/>
  <c r="X94"/>
  <c r="B95"/>
  <c r="C95"/>
  <c r="D95"/>
  <c r="E95"/>
  <c r="F95"/>
  <c r="G95"/>
  <c r="H95"/>
  <c r="I95"/>
  <c r="J95"/>
  <c r="K95"/>
  <c r="L95"/>
  <c r="M95"/>
  <c r="N95"/>
  <c r="O95"/>
  <c r="P95"/>
  <c r="Q95"/>
  <c r="R95"/>
  <c r="S95"/>
  <c r="T95"/>
  <c r="U95"/>
  <c r="V95"/>
  <c r="W95"/>
  <c r="X95"/>
  <c r="B96"/>
  <c r="C96"/>
  <c r="D96"/>
  <c r="E96"/>
  <c r="F96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B97"/>
  <c r="C97"/>
  <c r="D97"/>
  <c r="E97"/>
  <c r="F97"/>
  <c r="G97"/>
  <c r="H97"/>
  <c r="I97"/>
  <c r="J97"/>
  <c r="K97"/>
  <c r="L97"/>
  <c r="M97"/>
  <c r="N97"/>
  <c r="O97"/>
  <c r="P97"/>
  <c r="Q97"/>
  <c r="R97"/>
  <c r="S97"/>
  <c r="T97"/>
  <c r="U97"/>
  <c r="V97"/>
  <c r="W97"/>
  <c r="X97"/>
  <c r="B98"/>
  <c r="C98"/>
  <c r="D98"/>
  <c r="E98"/>
  <c r="F98"/>
  <c r="G98"/>
  <c r="H98"/>
  <c r="I98"/>
  <c r="J98"/>
  <c r="K98"/>
  <c r="L98"/>
  <c r="M98"/>
  <c r="N98"/>
  <c r="O98"/>
  <c r="P98"/>
  <c r="Q98"/>
  <c r="R98"/>
  <c r="S98"/>
  <c r="T98"/>
  <c r="U98"/>
  <c r="V98"/>
  <c r="W98"/>
  <c r="X98"/>
  <c r="B99"/>
  <c r="C99"/>
  <c r="D99"/>
  <c r="E99"/>
  <c r="F99"/>
  <c r="G99"/>
  <c r="H99"/>
  <c r="I99"/>
  <c r="J99"/>
  <c r="K99"/>
  <c r="L99"/>
  <c r="M99"/>
  <c r="N99"/>
  <c r="O99"/>
  <c r="P99"/>
  <c r="Q99"/>
  <c r="R99"/>
  <c r="S99"/>
  <c r="T99"/>
  <c r="U99"/>
  <c r="V99"/>
  <c r="W99"/>
  <c r="X99"/>
  <c r="B100"/>
  <c r="C100"/>
  <c r="D100"/>
  <c r="E100"/>
  <c r="F100"/>
  <c r="G100"/>
  <c r="H100"/>
  <c r="I100"/>
  <c r="J100"/>
  <c r="K100"/>
  <c r="L100"/>
  <c r="M100"/>
  <c r="N100"/>
  <c r="O100"/>
  <c r="P100"/>
  <c r="Q100"/>
  <c r="R100"/>
  <c r="S100"/>
  <c r="T100"/>
  <c r="U100"/>
  <c r="V100"/>
  <c r="W100"/>
  <c r="X100"/>
  <c r="B101"/>
  <c r="C101"/>
  <c r="D101"/>
  <c r="E101"/>
  <c r="F101"/>
  <c r="G101"/>
  <c r="H101"/>
  <c r="I101"/>
  <c r="J101"/>
  <c r="K101"/>
  <c r="L101"/>
  <c r="M101"/>
  <c r="N101"/>
  <c r="O101"/>
  <c r="P101"/>
  <c r="Q101"/>
  <c r="R101"/>
  <c r="S101"/>
  <c r="T101"/>
  <c r="U101"/>
  <c r="V101"/>
  <c r="W101"/>
  <c r="X101"/>
  <c r="B102"/>
  <c r="C102"/>
  <c r="D102"/>
  <c r="E102"/>
  <c r="F102"/>
  <c r="G102"/>
  <c r="H102"/>
  <c r="I102"/>
  <c r="J102"/>
  <c r="K102"/>
  <c r="L102"/>
  <c r="M102"/>
  <c r="N102"/>
  <c r="O102"/>
  <c r="P102"/>
  <c r="Q102"/>
  <c r="R102"/>
  <c r="S102"/>
  <c r="T102"/>
  <c r="U102"/>
  <c r="V102"/>
  <c r="W102"/>
  <c r="X102"/>
  <c r="B103"/>
  <c r="C103"/>
  <c r="D103"/>
  <c r="E103"/>
  <c r="F103"/>
  <c r="G103"/>
  <c r="H103"/>
  <c r="I103"/>
  <c r="J103"/>
  <c r="K103"/>
  <c r="L103"/>
  <c r="M103"/>
  <c r="N103"/>
  <c r="O103"/>
  <c r="P103"/>
  <c r="Q103"/>
  <c r="R103"/>
  <c r="S103"/>
  <c r="T103"/>
  <c r="U103"/>
  <c r="V103"/>
  <c r="W103"/>
  <c r="X103"/>
  <c r="B104"/>
  <c r="C104"/>
  <c r="D104"/>
  <c r="E104"/>
  <c r="F104"/>
  <c r="G104"/>
  <c r="H104"/>
  <c r="I104"/>
  <c r="J104"/>
  <c r="K104"/>
  <c r="L104"/>
  <c r="M104"/>
  <c r="N104"/>
  <c r="O104"/>
  <c r="P104"/>
  <c r="Q104"/>
  <c r="R104"/>
  <c r="S104"/>
  <c r="T104"/>
  <c r="U104"/>
  <c r="V104"/>
  <c r="W104"/>
  <c r="X104"/>
  <c r="B105"/>
  <c r="C105"/>
  <c r="D105"/>
  <c r="E105"/>
  <c r="F105"/>
  <c r="G105"/>
  <c r="H105"/>
  <c r="I105"/>
  <c r="J105"/>
  <c r="K105"/>
  <c r="L105"/>
  <c r="M105"/>
  <c r="N105"/>
  <c r="O105"/>
  <c r="P105"/>
  <c r="Q105"/>
  <c r="R105"/>
  <c r="S105"/>
  <c r="T105"/>
  <c r="U105"/>
  <c r="V105"/>
  <c r="W105"/>
  <c r="X105"/>
  <c r="B106"/>
  <c r="C106"/>
  <c r="D106"/>
  <c r="E106"/>
  <c r="F106"/>
  <c r="G106"/>
  <c r="H106"/>
  <c r="I106"/>
  <c r="J106"/>
  <c r="K106"/>
  <c r="L106"/>
  <c r="M106"/>
  <c r="N106"/>
  <c r="O106"/>
  <c r="P106"/>
  <c r="Q106"/>
  <c r="R106"/>
  <c r="S106"/>
  <c r="T106"/>
  <c r="U106"/>
  <c r="V106"/>
  <c r="W106"/>
  <c r="X106"/>
  <c r="B107"/>
  <c r="C107"/>
  <c r="D107"/>
  <c r="E107"/>
  <c r="F107"/>
  <c r="G107"/>
  <c r="H107"/>
  <c r="I107"/>
  <c r="J107"/>
  <c r="K107"/>
  <c r="L107"/>
  <c r="M107"/>
  <c r="N107"/>
  <c r="O107"/>
  <c r="P107"/>
  <c r="Q107"/>
  <c r="R107"/>
  <c r="S107"/>
  <c r="T107"/>
  <c r="U107"/>
  <c r="V107"/>
  <c r="W107"/>
  <c r="X107"/>
  <c r="B108"/>
  <c r="C108"/>
  <c r="D108"/>
  <c r="E108"/>
  <c r="F108"/>
  <c r="G108"/>
  <c r="H108"/>
  <c r="I108"/>
  <c r="J108"/>
  <c r="K108"/>
  <c r="L108"/>
  <c r="M108"/>
  <c r="N108"/>
  <c r="O108"/>
  <c r="P108"/>
  <c r="Q108"/>
  <c r="R108"/>
  <c r="S108"/>
  <c r="T108"/>
  <c r="U108"/>
  <c r="V108"/>
  <c r="W108"/>
  <c r="X108"/>
  <c r="B109"/>
  <c r="C109"/>
  <c r="D109"/>
  <c r="E109"/>
  <c r="F109"/>
  <c r="G109"/>
  <c r="H109"/>
  <c r="I109"/>
  <c r="J109"/>
  <c r="K109"/>
  <c r="L109"/>
  <c r="M109"/>
  <c r="N109"/>
  <c r="O109"/>
  <c r="P109"/>
  <c r="Q109"/>
  <c r="R109"/>
  <c r="S109"/>
  <c r="T109"/>
  <c r="U109"/>
  <c r="V109"/>
  <c r="W109"/>
  <c r="X109"/>
  <c r="B110"/>
  <c r="C110"/>
  <c r="D110"/>
  <c r="E110"/>
  <c r="F110"/>
  <c r="G110"/>
  <c r="H110"/>
  <c r="I110"/>
  <c r="J110"/>
  <c r="K110"/>
  <c r="L110"/>
  <c r="M110"/>
  <c r="N110"/>
  <c r="O110"/>
  <c r="P110"/>
  <c r="Q110"/>
  <c r="R110"/>
  <c r="S110"/>
  <c r="T110"/>
  <c r="U110"/>
  <c r="V110"/>
  <c r="W110"/>
  <c r="X110"/>
  <c r="B111"/>
  <c r="C111"/>
  <c r="D111"/>
  <c r="E111"/>
  <c r="F111"/>
  <c r="G111"/>
  <c r="H111"/>
  <c r="I111"/>
  <c r="J111"/>
  <c r="K111"/>
  <c r="L111"/>
  <c r="M111"/>
  <c r="N111"/>
  <c r="O111"/>
  <c r="P111"/>
  <c r="Q111"/>
  <c r="R111"/>
  <c r="S111"/>
  <c r="T111"/>
  <c r="U111"/>
  <c r="V111"/>
  <c r="W111"/>
  <c r="X111"/>
  <c r="B112"/>
  <c r="C112"/>
  <c r="D112"/>
  <c r="E112"/>
  <c r="F112"/>
  <c r="G112"/>
  <c r="H112"/>
  <c r="I112"/>
  <c r="J112"/>
  <c r="K112"/>
  <c r="L112"/>
  <c r="M112"/>
  <c r="N112"/>
  <c r="O112"/>
  <c r="P112"/>
  <c r="Q112"/>
  <c r="R112"/>
  <c r="S112"/>
  <c r="T112"/>
  <c r="U112"/>
  <c r="V112"/>
  <c r="W112"/>
  <c r="X112"/>
  <c r="B113"/>
  <c r="C113"/>
  <c r="D113"/>
  <c r="E113"/>
  <c r="F113"/>
  <c r="G113"/>
  <c r="H113"/>
  <c r="I113"/>
  <c r="J113"/>
  <c r="K113"/>
  <c r="L113"/>
  <c r="M113"/>
  <c r="N113"/>
  <c r="O113"/>
  <c r="P113"/>
  <c r="Q113"/>
  <c r="R113"/>
  <c r="S113"/>
  <c r="T113"/>
  <c r="U113"/>
  <c r="V113"/>
  <c r="W113"/>
  <c r="X113"/>
  <c r="B114"/>
  <c r="C114"/>
  <c r="D114"/>
  <c r="E114"/>
  <c r="F114"/>
  <c r="G114"/>
  <c r="H114"/>
  <c r="I114"/>
  <c r="J114"/>
  <c r="K114"/>
  <c r="L114"/>
  <c r="M114"/>
  <c r="N114"/>
  <c r="O114"/>
  <c r="P114"/>
  <c r="Q114"/>
  <c r="R114"/>
  <c r="S114"/>
  <c r="T114"/>
  <c r="U114"/>
  <c r="V114"/>
  <c r="W114"/>
  <c r="X114"/>
  <c r="B115"/>
  <c r="C115"/>
  <c r="D115"/>
  <c r="E115"/>
  <c r="F115"/>
  <c r="G115"/>
  <c r="H115"/>
  <c r="I115"/>
  <c r="J115"/>
  <c r="K115"/>
  <c r="L115"/>
  <c r="M115"/>
  <c r="N115"/>
  <c r="O115"/>
  <c r="P115"/>
  <c r="Q115"/>
  <c r="R115"/>
  <c r="S115"/>
  <c r="T115"/>
  <c r="U115"/>
  <c r="V115"/>
  <c r="W115"/>
  <c r="X115"/>
  <c r="B116"/>
  <c r="C116"/>
  <c r="D116"/>
  <c r="E116"/>
  <c r="F116"/>
  <c r="G116"/>
  <c r="H116"/>
  <c r="I116"/>
  <c r="J116"/>
  <c r="K116"/>
  <c r="L116"/>
  <c r="M116"/>
  <c r="N116"/>
  <c r="O116"/>
  <c r="P116"/>
  <c r="Q116"/>
  <c r="R116"/>
  <c r="S116"/>
  <c r="T116"/>
  <c r="U116"/>
  <c r="V116"/>
  <c r="W116"/>
  <c r="X116"/>
  <c r="B117"/>
  <c r="C117"/>
  <c r="D117"/>
  <c r="E117"/>
  <c r="F117"/>
  <c r="G117"/>
  <c r="H117"/>
  <c r="I117"/>
  <c r="J117"/>
  <c r="K117"/>
  <c r="L117"/>
  <c r="M117"/>
  <c r="N117"/>
  <c r="O117"/>
  <c r="P117"/>
  <c r="Q117"/>
  <c r="R117"/>
  <c r="S117"/>
  <c r="T117"/>
  <c r="U117"/>
  <c r="V117"/>
  <c r="W117"/>
  <c r="X117"/>
  <c r="B118"/>
  <c r="C118"/>
  <c r="D118"/>
  <c r="E118"/>
  <c r="F118"/>
  <c r="G118"/>
  <c r="H118"/>
  <c r="I118"/>
  <c r="J118"/>
  <c r="K118"/>
  <c r="L118"/>
  <c r="M118"/>
  <c r="N118"/>
  <c r="O118"/>
  <c r="P118"/>
  <c r="Q118"/>
  <c r="R118"/>
  <c r="S118"/>
  <c r="T118"/>
  <c r="U118"/>
  <c r="V118"/>
  <c r="W118"/>
  <c r="X118"/>
  <c r="B119"/>
  <c r="C119"/>
  <c r="D119"/>
  <c r="E119"/>
  <c r="F119"/>
  <c r="G119"/>
  <c r="H119"/>
  <c r="I119"/>
  <c r="J119"/>
  <c r="K119"/>
  <c r="L119"/>
  <c r="M119"/>
  <c r="N119"/>
  <c r="O119"/>
  <c r="P119"/>
  <c r="Q119"/>
  <c r="R119"/>
  <c r="S119"/>
  <c r="T119"/>
  <c r="U119"/>
  <c r="V119"/>
  <c r="W119"/>
  <c r="X119"/>
  <c r="B120"/>
  <c r="C120"/>
  <c r="D120"/>
  <c r="E120"/>
  <c r="F120"/>
  <c r="G120"/>
  <c r="H120"/>
  <c r="I120"/>
  <c r="J120"/>
  <c r="K120"/>
  <c r="L120"/>
  <c r="M120"/>
  <c r="N120"/>
  <c r="O120"/>
  <c r="P120"/>
  <c r="Q120"/>
  <c r="R120"/>
  <c r="S120"/>
  <c r="T120"/>
  <c r="U120"/>
  <c r="V120"/>
  <c r="W120"/>
  <c r="X120"/>
  <c r="B121"/>
  <c r="C121"/>
  <c r="D121"/>
  <c r="E121"/>
  <c r="F121"/>
  <c r="G121"/>
  <c r="H121"/>
  <c r="I121"/>
  <c r="J121"/>
  <c r="K121"/>
  <c r="L121"/>
  <c r="M121"/>
  <c r="N121"/>
  <c r="O121"/>
  <c r="P121"/>
  <c r="Q121"/>
  <c r="R121"/>
  <c r="S121"/>
  <c r="T121"/>
  <c r="U121"/>
  <c r="V121"/>
  <c r="W121"/>
  <c r="X121"/>
  <c r="B122"/>
  <c r="C122"/>
  <c r="D122"/>
  <c r="E122"/>
  <c r="F122"/>
  <c r="G122"/>
  <c r="H122"/>
  <c r="I122"/>
  <c r="J122"/>
  <c r="K122"/>
  <c r="L122"/>
  <c r="M122"/>
  <c r="N122"/>
  <c r="O122"/>
  <c r="P122"/>
  <c r="Q122"/>
  <c r="R122"/>
  <c r="S122"/>
  <c r="T122"/>
  <c r="U122"/>
  <c r="V122"/>
  <c r="W122"/>
  <c r="X122"/>
  <c r="B123"/>
  <c r="C123"/>
  <c r="D123"/>
  <c r="E123"/>
  <c r="F123"/>
  <c r="G123"/>
  <c r="H123"/>
  <c r="I123"/>
  <c r="J123"/>
  <c r="K123"/>
  <c r="L123"/>
  <c r="M123"/>
  <c r="N123"/>
  <c r="O123"/>
  <c r="P123"/>
  <c r="Q123"/>
  <c r="R123"/>
  <c r="S123"/>
  <c r="T123"/>
  <c r="U123"/>
  <c r="V123"/>
  <c r="W123"/>
  <c r="X123"/>
  <c r="B124"/>
  <c r="C124"/>
  <c r="D124"/>
  <c r="E124"/>
  <c r="F124"/>
  <c r="G124"/>
  <c r="H124"/>
  <c r="I124"/>
  <c r="J124"/>
  <c r="K124"/>
  <c r="L124"/>
  <c r="M124"/>
  <c r="N124"/>
  <c r="O124"/>
  <c r="P124"/>
  <c r="Q124"/>
  <c r="R124"/>
  <c r="S124"/>
  <c r="T124"/>
  <c r="U124"/>
  <c r="V124"/>
  <c r="W124"/>
  <c r="X124"/>
  <c r="B125"/>
  <c r="C125"/>
  <c r="D125"/>
  <c r="E125"/>
  <c r="F125"/>
  <c r="G125"/>
  <c r="H125"/>
  <c r="I125"/>
  <c r="J125"/>
  <c r="K125"/>
  <c r="L125"/>
  <c r="M125"/>
  <c r="N125"/>
  <c r="O125"/>
  <c r="P125"/>
  <c r="Q125"/>
  <c r="R125"/>
  <c r="S125"/>
  <c r="T125"/>
  <c r="U125"/>
  <c r="V125"/>
  <c r="W125"/>
  <c r="X125"/>
  <c r="B126"/>
  <c r="C126"/>
  <c r="D126"/>
  <c r="E126"/>
  <c r="F126"/>
  <c r="G126"/>
  <c r="H126"/>
  <c r="I126"/>
  <c r="J126"/>
  <c r="K126"/>
  <c r="L126"/>
  <c r="M126"/>
  <c r="N126"/>
  <c r="O126"/>
  <c r="P126"/>
  <c r="Q126"/>
  <c r="R126"/>
  <c r="S126"/>
  <c r="T126"/>
  <c r="U126"/>
  <c r="V126"/>
  <c r="W126"/>
  <c r="X126"/>
  <c r="B127"/>
  <c r="C127"/>
  <c r="D127"/>
  <c r="E127"/>
  <c r="F127"/>
  <c r="G127"/>
  <c r="H127"/>
  <c r="I127"/>
  <c r="J127"/>
  <c r="K127"/>
  <c r="L127"/>
  <c r="M127"/>
  <c r="N127"/>
  <c r="O127"/>
  <c r="P127"/>
  <c r="Q127"/>
  <c r="R127"/>
  <c r="S127"/>
  <c r="T127"/>
  <c r="U127"/>
  <c r="V127"/>
  <c r="W127"/>
  <c r="X127"/>
  <c r="B128"/>
  <c r="C128"/>
  <c r="D128"/>
  <c r="E128"/>
  <c r="F128"/>
  <c r="G128"/>
  <c r="H128"/>
  <c r="I128"/>
  <c r="J128"/>
  <c r="K128"/>
  <c r="L128"/>
  <c r="M128"/>
  <c r="N128"/>
  <c r="O128"/>
  <c r="P128"/>
  <c r="Q128"/>
  <c r="R128"/>
  <c r="S128"/>
  <c r="T128"/>
  <c r="U128"/>
  <c r="V128"/>
  <c r="W128"/>
  <c r="X128"/>
  <c r="B129"/>
  <c r="C129"/>
  <c r="D129"/>
  <c r="E129"/>
  <c r="F129"/>
  <c r="G129"/>
  <c r="H129"/>
  <c r="I129"/>
  <c r="J129"/>
  <c r="K129"/>
  <c r="L129"/>
  <c r="M129"/>
  <c r="N129"/>
  <c r="O129"/>
  <c r="P129"/>
  <c r="Q129"/>
  <c r="R129"/>
  <c r="S129"/>
  <c r="T129"/>
  <c r="U129"/>
  <c r="V129"/>
  <c r="W129"/>
  <c r="X129"/>
  <c r="B130"/>
  <c r="C130"/>
  <c r="D130"/>
  <c r="E130"/>
  <c r="F130"/>
  <c r="G130"/>
  <c r="H130"/>
  <c r="I130"/>
  <c r="J130"/>
  <c r="K130"/>
  <c r="L130"/>
  <c r="M130"/>
  <c r="N130"/>
  <c r="O130"/>
  <c r="P130"/>
  <c r="Q130"/>
  <c r="R130"/>
  <c r="S130"/>
  <c r="T130"/>
  <c r="U130"/>
  <c r="V130"/>
  <c r="W130"/>
  <c r="X130"/>
  <c r="D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B11"/>
  <c r="X8" i="5"/>
  <c r="S8"/>
  <c r="N8"/>
  <c r="I8"/>
  <c r="F3"/>
  <c r="F2"/>
  <c r="O4" i="4"/>
  <c r="O3"/>
  <c r="AD10" i="1" l="1"/>
  <c r="B14" i="4"/>
  <c r="N35"/>
  <c r="F35"/>
  <c r="AB10" i="1"/>
  <c r="AB20" s="1"/>
  <c r="AA10"/>
  <c r="AA54" s="1"/>
  <c r="AC10"/>
  <c r="AC44" s="1"/>
  <c r="Y11" i="5"/>
  <c r="Z10" i="1"/>
  <c r="Z69" s="1"/>
  <c r="K14" i="4"/>
  <c r="C14"/>
  <c r="I14"/>
  <c r="J14"/>
  <c r="O35"/>
  <c r="O14"/>
  <c r="G35"/>
  <c r="G14"/>
  <c r="M35"/>
  <c r="E35"/>
  <c r="N14"/>
  <c r="F14"/>
  <c r="H14"/>
  <c r="M14"/>
  <c r="E14"/>
  <c r="P14"/>
  <c r="L14"/>
  <c r="D14"/>
  <c r="P35"/>
  <c r="H35"/>
  <c r="L35"/>
  <c r="D35"/>
  <c r="K35"/>
  <c r="C35"/>
  <c r="B35"/>
  <c r="I35"/>
  <c r="J35"/>
  <c r="Z123" i="1"/>
  <c r="Z115"/>
  <c r="Z107"/>
  <c r="Z99"/>
  <c r="Z91"/>
  <c r="Z128"/>
  <c r="Z120"/>
  <c r="Z112"/>
  <c r="Z104"/>
  <c r="AE10" i="5"/>
  <c r="AA126" i="1"/>
  <c r="AA118"/>
  <c r="Z96"/>
  <c r="Z88"/>
  <c r="Z83"/>
  <c r="AB129"/>
  <c r="AB121"/>
  <c r="AB113"/>
  <c r="AB105"/>
  <c r="AB97"/>
  <c r="AB89"/>
  <c r="Z130"/>
  <c r="Z122"/>
  <c r="Z114"/>
  <c r="Z106"/>
  <c r="Z98"/>
  <c r="Z90"/>
  <c r="AC124"/>
  <c r="AC116"/>
  <c r="AC108"/>
  <c r="AC100"/>
  <c r="AC92"/>
  <c r="AC84"/>
  <c r="AC76"/>
  <c r="AC52"/>
  <c r="Z125"/>
  <c r="Z117"/>
  <c r="Z109"/>
  <c r="Z101"/>
  <c r="Z93"/>
  <c r="Z85"/>
  <c r="AA110"/>
  <c r="AA102"/>
  <c r="AA94"/>
  <c r="AA86"/>
  <c r="Y10" i="5"/>
  <c r="AD127" i="1"/>
  <c r="AD119"/>
  <c r="AD111"/>
  <c r="AD103"/>
  <c r="AD95"/>
  <c r="AD87"/>
  <c r="AD79"/>
  <c r="AD71"/>
  <c r="AD63"/>
  <c r="AD55"/>
  <c r="AD47"/>
  <c r="AD39"/>
  <c r="AD130"/>
  <c r="AA129"/>
  <c r="AC127"/>
  <c r="Z126"/>
  <c r="AB124"/>
  <c r="AD122"/>
  <c r="AA121"/>
  <c r="AC119"/>
  <c r="Z118"/>
  <c r="AB116"/>
  <c r="AD114"/>
  <c r="AA113"/>
  <c r="AC111"/>
  <c r="Z110"/>
  <c r="AB108"/>
  <c r="AD106"/>
  <c r="AA105"/>
  <c r="AC103"/>
  <c r="Z102"/>
  <c r="AB100"/>
  <c r="AD98"/>
  <c r="AA97"/>
  <c r="AC95"/>
  <c r="Z94"/>
  <c r="AB92"/>
  <c r="AD90"/>
  <c r="AA89"/>
  <c r="AC87"/>
  <c r="Z86"/>
  <c r="AB84"/>
  <c r="AD82"/>
  <c r="AD74"/>
  <c r="AD66"/>
  <c r="AA65"/>
  <c r="AD58"/>
  <c r="AC55"/>
  <c r="AD50"/>
  <c r="AD42"/>
  <c r="AC130"/>
  <c r="Z129"/>
  <c r="AB127"/>
  <c r="AD125"/>
  <c r="AA124"/>
  <c r="AC122"/>
  <c r="Z121"/>
  <c r="AB119"/>
  <c r="AD117"/>
  <c r="AA116"/>
  <c r="AC114"/>
  <c r="Z113"/>
  <c r="AB111"/>
  <c r="AD109"/>
  <c r="AA108"/>
  <c r="AC106"/>
  <c r="Z105"/>
  <c r="AB103"/>
  <c r="AD101"/>
  <c r="AA100"/>
  <c r="AC98"/>
  <c r="Z97"/>
  <c r="AB95"/>
  <c r="AD93"/>
  <c r="AA92"/>
  <c r="AC90"/>
  <c r="Z89"/>
  <c r="AB87"/>
  <c r="AD85"/>
  <c r="AA84"/>
  <c r="AC82"/>
  <c r="Z81"/>
  <c r="AB79"/>
  <c r="AD77"/>
  <c r="AA76"/>
  <c r="AC74"/>
  <c r="Z73"/>
  <c r="AD69"/>
  <c r="AD61"/>
  <c r="AD53"/>
  <c r="AD45"/>
  <c r="AB130"/>
  <c r="AD128"/>
  <c r="AA127"/>
  <c r="AC125"/>
  <c r="Z124"/>
  <c r="AB122"/>
  <c r="AD120"/>
  <c r="AA119"/>
  <c r="AC117"/>
  <c r="Z116"/>
  <c r="AB114"/>
  <c r="AD112"/>
  <c r="AA111"/>
  <c r="AC109"/>
  <c r="Z108"/>
  <c r="AB106"/>
  <c r="AD104"/>
  <c r="AA103"/>
  <c r="AC101"/>
  <c r="Z100"/>
  <c r="AB98"/>
  <c r="AD96"/>
  <c r="AA95"/>
  <c r="AC93"/>
  <c r="Z92"/>
  <c r="AB90"/>
  <c r="AD88"/>
  <c r="AA87"/>
  <c r="AC85"/>
  <c r="Z84"/>
  <c r="AD80"/>
  <c r="AA79"/>
  <c r="Z76"/>
  <c r="AD72"/>
  <c r="AD64"/>
  <c r="AD56"/>
  <c r="AD48"/>
  <c r="AD40"/>
  <c r="AA130"/>
  <c r="AC128"/>
  <c r="Z127"/>
  <c r="AB125"/>
  <c r="AD123"/>
  <c r="AA122"/>
  <c r="AC120"/>
  <c r="Z119"/>
  <c r="AB117"/>
  <c r="AD115"/>
  <c r="AA114"/>
  <c r="AC112"/>
  <c r="Z111"/>
  <c r="AB109"/>
  <c r="AD107"/>
  <c r="AA106"/>
  <c r="AC104"/>
  <c r="Z103"/>
  <c r="AB101"/>
  <c r="AD99"/>
  <c r="AA98"/>
  <c r="AC96"/>
  <c r="Z95"/>
  <c r="AB93"/>
  <c r="AD91"/>
  <c r="AA90"/>
  <c r="AC88"/>
  <c r="Z87"/>
  <c r="AB85"/>
  <c r="AD83"/>
  <c r="AD75"/>
  <c r="AD67"/>
  <c r="AD59"/>
  <c r="AD51"/>
  <c r="AD43"/>
  <c r="AB128"/>
  <c r="AD126"/>
  <c r="AA125"/>
  <c r="AC123"/>
  <c r="AB120"/>
  <c r="AD118"/>
  <c r="AA117"/>
  <c r="AC115"/>
  <c r="AB112"/>
  <c r="AD110"/>
  <c r="AA109"/>
  <c r="AC107"/>
  <c r="AB104"/>
  <c r="AD102"/>
  <c r="AA101"/>
  <c r="AC99"/>
  <c r="AB96"/>
  <c r="AD94"/>
  <c r="AA93"/>
  <c r="AC91"/>
  <c r="AB88"/>
  <c r="AD86"/>
  <c r="AA85"/>
  <c r="AC83"/>
  <c r="AD78"/>
  <c r="AD70"/>
  <c r="AD62"/>
  <c r="AC59"/>
  <c r="AD54"/>
  <c r="AD46"/>
  <c r="AD129"/>
  <c r="AA128"/>
  <c r="AC126"/>
  <c r="AB123"/>
  <c r="AD121"/>
  <c r="AA120"/>
  <c r="AC118"/>
  <c r="AB115"/>
  <c r="AD113"/>
  <c r="AA112"/>
  <c r="AC110"/>
  <c r="AB107"/>
  <c r="AD105"/>
  <c r="AA104"/>
  <c r="AC102"/>
  <c r="AB99"/>
  <c r="AD97"/>
  <c r="AA96"/>
  <c r="AC94"/>
  <c r="AB91"/>
  <c r="AD89"/>
  <c r="AA88"/>
  <c r="AC86"/>
  <c r="AB83"/>
  <c r="AD81"/>
  <c r="AD73"/>
  <c r="AD65"/>
  <c r="AA64"/>
  <c r="AD57"/>
  <c r="AD49"/>
  <c r="AD41"/>
  <c r="AA40"/>
  <c r="AC129"/>
  <c r="AB126"/>
  <c r="AD124"/>
  <c r="AA123"/>
  <c r="AC121"/>
  <c r="AB118"/>
  <c r="AD116"/>
  <c r="AA115"/>
  <c r="AC113"/>
  <c r="AB110"/>
  <c r="AD108"/>
  <c r="AA107"/>
  <c r="AC105"/>
  <c r="AB102"/>
  <c r="AD100"/>
  <c r="AA99"/>
  <c r="AC97"/>
  <c r="AB94"/>
  <c r="AD92"/>
  <c r="AA91"/>
  <c r="AC89"/>
  <c r="AB86"/>
  <c r="AD84"/>
  <c r="AA83"/>
  <c r="AD76"/>
  <c r="AA75"/>
  <c r="AC73"/>
  <c r="AD68"/>
  <c r="AD60"/>
  <c r="AD52"/>
  <c r="AD44"/>
  <c r="AA73" l="1"/>
  <c r="AC79"/>
  <c r="Z78"/>
  <c r="Z74"/>
  <c r="AC80"/>
  <c r="Z79"/>
  <c r="AB80"/>
  <c r="AA77"/>
  <c r="AA74"/>
  <c r="AC78"/>
  <c r="AC75"/>
  <c r="AC81"/>
  <c r="AA58"/>
  <c r="AA82"/>
  <c r="AA80"/>
  <c r="AA72"/>
  <c r="AC56"/>
  <c r="AA81"/>
  <c r="Z82"/>
  <c r="Z77"/>
  <c r="Z80"/>
  <c r="Z75"/>
  <c r="AB82"/>
  <c r="AA78"/>
  <c r="AA46"/>
  <c r="AC77"/>
  <c r="AB81"/>
  <c r="AC53"/>
  <c r="AB77"/>
  <c r="AB78"/>
  <c r="AB76"/>
  <c r="AB75"/>
  <c r="AB74"/>
  <c r="AB73"/>
  <c r="AA57"/>
  <c r="AA66"/>
  <c r="AA43"/>
  <c r="AA67"/>
  <c r="AA69"/>
  <c r="AA55"/>
  <c r="AA60"/>
  <c r="AA61"/>
  <c r="AA63"/>
  <c r="AA52"/>
  <c r="AC65"/>
  <c r="AC62"/>
  <c r="AC50"/>
  <c r="AC57"/>
  <c r="AC54"/>
  <c r="AC51"/>
  <c r="AC48"/>
  <c r="AC45"/>
  <c r="AC42"/>
  <c r="AC47"/>
  <c r="AC60"/>
  <c r="AC49"/>
  <c r="AA59"/>
  <c r="AC46"/>
  <c r="AA56"/>
  <c r="AC43"/>
  <c r="AA53"/>
  <c r="AC40"/>
  <c r="AA50"/>
  <c r="AC72"/>
  <c r="AA47"/>
  <c r="AC69"/>
  <c r="AA44"/>
  <c r="AC66"/>
  <c r="AC39"/>
  <c r="AA49"/>
  <c r="AC71"/>
  <c r="AA62"/>
  <c r="AC68"/>
  <c r="AC41"/>
  <c r="AA51"/>
  <c r="AA48"/>
  <c r="AC70"/>
  <c r="AA45"/>
  <c r="AC67"/>
  <c r="AA42"/>
  <c r="AC64"/>
  <c r="AA39"/>
  <c r="AC61"/>
  <c r="AA71"/>
  <c r="AC58"/>
  <c r="AA68"/>
  <c r="AA41"/>
  <c r="AC63"/>
  <c r="AB46"/>
  <c r="AB54"/>
  <c r="AB62"/>
  <c r="AB70"/>
  <c r="AB43"/>
  <c r="AB51"/>
  <c r="AB59"/>
  <c r="AB67"/>
  <c r="AB40"/>
  <c r="AB48"/>
  <c r="AB56"/>
  <c r="AB64"/>
  <c r="AB72"/>
  <c r="AB45"/>
  <c r="Z46"/>
  <c r="AB52"/>
  <c r="AB60"/>
  <c r="AB68"/>
  <c r="AA70"/>
  <c r="AB39"/>
  <c r="AB47"/>
  <c r="AB55"/>
  <c r="AB57"/>
  <c r="Z58"/>
  <c r="Z64"/>
  <c r="Z47"/>
  <c r="AB61"/>
  <c r="Z57"/>
  <c r="AB71"/>
  <c r="AB65"/>
  <c r="AB42"/>
  <c r="AB50"/>
  <c r="AB58"/>
  <c r="AB66"/>
  <c r="AB41"/>
  <c r="AB53"/>
  <c r="AB69"/>
  <c r="AB63"/>
  <c r="AB17"/>
  <c r="AB34"/>
  <c r="Z68"/>
  <c r="AB31"/>
  <c r="AB28"/>
  <c r="AB44"/>
  <c r="Z59"/>
  <c r="AB49"/>
  <c r="Z45"/>
  <c r="Z65"/>
  <c r="Z54"/>
  <c r="Z67"/>
  <c r="Z66"/>
  <c r="Z40"/>
  <c r="Z72"/>
  <c r="Z53"/>
  <c r="Z55"/>
  <c r="Z63"/>
  <c r="Z52"/>
  <c r="Z41"/>
  <c r="Z62"/>
  <c r="Z43"/>
  <c r="Z42"/>
  <c r="Z48"/>
  <c r="Z61"/>
  <c r="Z44"/>
  <c r="Z39"/>
  <c r="Z71"/>
  <c r="Z60"/>
  <c r="Z49"/>
  <c r="Z70"/>
  <c r="Z51"/>
  <c r="Z50"/>
  <c r="Z56"/>
  <c r="AB22"/>
  <c r="AB19"/>
  <c r="AB25"/>
  <c r="AB30"/>
  <c r="AB27"/>
  <c r="AB24"/>
  <c r="AB29"/>
  <c r="AB18"/>
  <c r="AB33"/>
  <c r="AB21"/>
  <c r="AB36"/>
  <c r="AB38"/>
  <c r="AB35"/>
  <c r="AB32"/>
  <c r="AB37"/>
  <c r="AB26"/>
  <c r="AB23"/>
  <c r="Y133" i="5"/>
  <c r="Y138" i="1" l="1"/>
  <c r="Y138" i="5" s="1"/>
  <c r="Y79" i="1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2"/>
  <c r="Y132" i="5" s="1"/>
  <c r="Y134" s="1"/>
  <c r="X8" i="1"/>
  <c r="S8"/>
  <c r="N8"/>
  <c r="I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7"/>
  <c r="AE128"/>
  <c r="AE129"/>
  <c r="AE130"/>
  <c r="Y78" l="1"/>
  <c r="Y76"/>
  <c r="Y77"/>
  <c r="Y75"/>
  <c r="Y74"/>
  <c r="Y73"/>
  <c r="Y42"/>
  <c r="Y69"/>
  <c r="Y65"/>
  <c r="Y61"/>
  <c r="Y57"/>
  <c r="Y53"/>
  <c r="Y49"/>
  <c r="Y45"/>
  <c r="Y41"/>
  <c r="Y72"/>
  <c r="Y68"/>
  <c r="Y64"/>
  <c r="Y60"/>
  <c r="Y56"/>
  <c r="Y52"/>
  <c r="Y48"/>
  <c r="Y44"/>
  <c r="Y40"/>
  <c r="Y71"/>
  <c r="Y67"/>
  <c r="Y63"/>
  <c r="Y59"/>
  <c r="Y55"/>
  <c r="Y51"/>
  <c r="Y47"/>
  <c r="Y43"/>
  <c r="Y39"/>
  <c r="Y70"/>
  <c r="Y66"/>
  <c r="Y62"/>
  <c r="Y58"/>
  <c r="Y54"/>
  <c r="Y50"/>
  <c r="Y46"/>
  <c r="Y24"/>
  <c r="Y23"/>
  <c r="Y38"/>
  <c r="Y30"/>
  <c r="Y22"/>
  <c r="Y37"/>
  <c r="Y29"/>
  <c r="Y21"/>
  <c r="Y36"/>
  <c r="Y28"/>
  <c r="Y20"/>
  <c r="Y35"/>
  <c r="Y27"/>
  <c r="Y19"/>
  <c r="Y34"/>
  <c r="Y26"/>
  <c r="Y18"/>
  <c r="Y33"/>
  <c r="Y25"/>
  <c r="Y17"/>
  <c r="Y31"/>
  <c r="Y32"/>
  <c r="Y11"/>
  <c r="Y14"/>
  <c r="Y15"/>
  <c r="Y13"/>
  <c r="Y12"/>
  <c r="Y10"/>
  <c r="Y16"/>
  <c r="F2"/>
  <c r="Y133" l="1"/>
  <c r="Y134" s="1"/>
  <c r="Y137"/>
  <c r="Y137" i="5" s="1"/>
  <c r="Y131" i="1"/>
  <c r="Y131" i="5" s="1"/>
  <c r="Y139" i="1"/>
  <c r="AD34" l="1"/>
  <c r="AD27"/>
  <c r="AD29"/>
  <c r="AD24"/>
  <c r="AD28"/>
  <c r="AD30"/>
  <c r="AD23"/>
  <c r="AD18"/>
  <c r="AD22"/>
  <c r="AD37"/>
  <c r="AD32"/>
  <c r="AD26"/>
  <c r="AD19"/>
  <c r="AD31"/>
  <c r="AD21"/>
  <c r="AD20"/>
  <c r="AD33"/>
  <c r="AD36"/>
  <c r="AD38"/>
  <c r="AD35"/>
  <c r="AD25"/>
  <c r="AD17"/>
  <c r="AC28"/>
  <c r="AC23"/>
  <c r="AC20"/>
  <c r="AC26"/>
  <c r="AC32"/>
  <c r="AC31"/>
  <c r="AC19"/>
  <c r="AC29"/>
  <c r="AC27"/>
  <c r="AC22"/>
  <c r="AC17"/>
  <c r="AC33"/>
  <c r="AC21"/>
  <c r="AC18"/>
  <c r="AC38"/>
  <c r="AC34"/>
  <c r="AC24"/>
  <c r="AC36"/>
  <c r="AC37"/>
  <c r="AC35"/>
  <c r="AC30"/>
  <c r="AC25"/>
  <c r="AA33"/>
  <c r="AA17"/>
  <c r="AA28"/>
  <c r="AA21"/>
  <c r="AA38"/>
  <c r="AA26"/>
  <c r="AA27"/>
  <c r="AA36"/>
  <c r="AA20"/>
  <c r="AA37"/>
  <c r="AA30"/>
  <c r="AA31"/>
  <c r="AA22"/>
  <c r="AA25"/>
  <c r="AA24"/>
  <c r="AA34"/>
  <c r="AA18"/>
  <c r="AA32"/>
  <c r="AA23"/>
  <c r="AA35"/>
  <c r="AA19"/>
  <c r="AA29"/>
  <c r="Z12"/>
  <c r="Z24"/>
  <c r="Z30"/>
  <c r="Z38"/>
  <c r="Z25"/>
  <c r="Z23"/>
  <c r="Z32"/>
  <c r="Z18"/>
  <c r="Z36"/>
  <c r="Z33"/>
  <c r="Z19"/>
  <c r="Z28"/>
  <c r="Z22"/>
  <c r="Z31"/>
  <c r="Z26"/>
  <c r="Z37"/>
  <c r="Z35"/>
  <c r="Z20"/>
  <c r="Z17"/>
  <c r="Z29"/>
  <c r="Z34"/>
  <c r="Z27"/>
  <c r="Z21"/>
  <c r="Y140"/>
  <c r="Y140" i="5" s="1"/>
  <c r="Y139"/>
  <c r="AD16" i="1"/>
  <c r="AD12"/>
  <c r="AD15"/>
  <c r="AD11"/>
  <c r="AD13"/>
  <c r="AD14"/>
  <c r="AC12"/>
  <c r="AC13"/>
  <c r="AC16"/>
  <c r="AC14"/>
  <c r="AC15"/>
  <c r="AC11"/>
  <c r="AB13"/>
  <c r="AB11"/>
  <c r="AB12"/>
  <c r="AB16"/>
  <c r="AB15"/>
  <c r="AB14"/>
  <c r="AA12"/>
  <c r="AA11"/>
  <c r="AA15"/>
  <c r="AA13"/>
  <c r="AA14"/>
  <c r="AA16"/>
  <c r="Z16"/>
  <c r="Z13"/>
  <c r="Z15"/>
  <c r="Z14"/>
  <c r="Z11"/>
  <c r="AE10"/>
  <c r="AE23" l="1"/>
  <c r="AE28"/>
  <c r="AE37"/>
  <c r="AE31"/>
  <c r="AE30"/>
  <c r="AE21"/>
  <c r="AE17"/>
  <c r="AE35"/>
  <c r="AE26"/>
  <c r="AE32"/>
  <c r="AE33"/>
  <c r="AE18"/>
  <c r="AE20"/>
  <c r="AE22"/>
  <c r="AE25"/>
  <c r="AE29"/>
  <c r="AE38"/>
  <c r="AE24"/>
  <c r="AE27"/>
  <c r="AE34"/>
  <c r="AE36"/>
  <c r="AE19"/>
  <c r="AD133"/>
  <c r="AD133" i="5" s="1"/>
  <c r="AA133" i="1"/>
  <c r="AA133" i="5" s="1"/>
  <c r="AC131" i="1"/>
  <c r="AC131" i="5" s="1"/>
  <c r="AB133" i="1"/>
  <c r="AB133" i="5" s="1"/>
  <c r="AB137" i="1"/>
  <c r="AB137" i="5" s="1"/>
  <c r="AD137" i="1"/>
  <c r="AD137" i="5" s="1"/>
  <c r="Z133" i="1"/>
  <c r="Z133" i="5" s="1"/>
  <c r="AA137" i="1"/>
  <c r="AA137" i="5" s="1"/>
  <c r="AB139" i="1"/>
  <c r="AB139" i="5" s="1"/>
  <c r="AA139" i="1"/>
  <c r="AA139" i="5" s="1"/>
  <c r="AA131" i="1"/>
  <c r="AA131" i="5" s="1"/>
  <c r="AB131" i="1"/>
  <c r="AB131" i="5" s="1"/>
  <c r="AC139" i="1"/>
  <c r="AC139" i="5" s="1"/>
  <c r="AC133" i="1"/>
  <c r="AC133" i="5" s="1"/>
  <c r="AD139" i="1"/>
  <c r="AD139" i="5" s="1"/>
  <c r="AC137" i="1"/>
  <c r="AC137" i="5" s="1"/>
  <c r="AD131" i="1"/>
  <c r="AD131" i="5" s="1"/>
  <c r="Z131" i="1"/>
  <c r="Z131" i="5" s="1"/>
  <c r="Z137" i="1"/>
  <c r="Z137" i="5" s="1"/>
  <c r="Z139" i="1"/>
  <c r="Z139" i="5" s="1"/>
  <c r="AE12" i="1"/>
  <c r="AE11"/>
  <c r="AE15"/>
  <c r="AE16"/>
  <c r="AE14"/>
  <c r="AE13"/>
  <c r="AC132" l="1"/>
  <c r="AC132" i="5" s="1"/>
  <c r="AC138" i="1"/>
  <c r="AC138" i="5" s="1"/>
  <c r="AD138" i="1"/>
  <c r="AD138" i="5" s="1"/>
  <c r="AD132" i="1"/>
  <c r="AA138"/>
  <c r="AA138" i="5" s="1"/>
  <c r="AA132" i="1"/>
  <c r="AB132"/>
  <c r="AB138"/>
  <c r="AB138" i="5" s="1"/>
  <c r="Z138" i="1"/>
  <c r="Z138" i="5" s="1"/>
  <c r="Z132" i="1"/>
  <c r="F3"/>
  <c r="AC140" l="1"/>
  <c r="AC140" i="5" s="1"/>
  <c r="AC134" i="1"/>
  <c r="AC134" i="5" s="1"/>
  <c r="AB134" i="1"/>
  <c r="AB134" i="5" s="1"/>
  <c r="AB132"/>
  <c r="AA134" i="1"/>
  <c r="AA134" i="5" s="1"/>
  <c r="AA132"/>
  <c r="AD134" i="1"/>
  <c r="AD132" i="5"/>
  <c r="Z134" i="1"/>
  <c r="Z134" i="5" s="1"/>
  <c r="Z132"/>
  <c r="AD140" i="1"/>
  <c r="AD140" i="5" s="1"/>
  <c r="Z140" i="1"/>
  <c r="Z140" i="5" s="1"/>
  <c r="AA135" i="1" l="1"/>
  <c r="AA136" s="1"/>
  <c r="Q20" i="4" s="1"/>
  <c r="AC135" i="1"/>
  <c r="AC136" s="1"/>
  <c r="Q22" i="4" s="1"/>
  <c r="AB135" i="1"/>
  <c r="AB135" i="5" s="1"/>
  <c r="AB136" s="1"/>
  <c r="AC141" i="1"/>
  <c r="AC142" s="1"/>
  <c r="R32" i="4" s="1"/>
  <c r="Q32" s="1"/>
  <c r="AD134" i="5"/>
  <c r="AD135" i="1"/>
  <c r="Z135"/>
  <c r="Z141"/>
  <c r="AD141"/>
  <c r="AA140"/>
  <c r="AA140" i="5" s="1"/>
  <c r="AB140" i="1"/>
  <c r="AB140" i="5" s="1"/>
  <c r="AA135" l="1"/>
  <c r="AA136" s="1"/>
  <c r="AB136" i="1"/>
  <c r="R20" i="4"/>
  <c r="E22"/>
  <c r="C22"/>
  <c r="AC135" i="5"/>
  <c r="AC136" s="1"/>
  <c r="R22" i="4"/>
  <c r="N22"/>
  <c r="O22"/>
  <c r="I22"/>
  <c r="G22"/>
  <c r="J22"/>
  <c r="K22"/>
  <c r="L22"/>
  <c r="AC141" i="5"/>
  <c r="H22" i="4"/>
  <c r="F22"/>
  <c r="P22"/>
  <c r="D22"/>
  <c r="B22"/>
  <c r="M22"/>
  <c r="Z136" i="1"/>
  <c r="Q19" i="4" s="1"/>
  <c r="Z135" i="5"/>
  <c r="Z136" s="1"/>
  <c r="AD142" i="1"/>
  <c r="R33" i="4" s="1"/>
  <c r="Q33" s="1"/>
  <c r="AD141" i="5"/>
  <c r="Z142" i="1"/>
  <c r="R29" i="4" s="1"/>
  <c r="Q29" s="1"/>
  <c r="Z141" i="5"/>
  <c r="AD136" i="1"/>
  <c r="Q23" i="4" s="1"/>
  <c r="AD135" i="5"/>
  <c r="AD136" s="1"/>
  <c r="AA141" i="1"/>
  <c r="AB141"/>
  <c r="P20" i="4"/>
  <c r="C20"/>
  <c r="B20"/>
  <c r="K20"/>
  <c r="J20"/>
  <c r="I20"/>
  <c r="D20"/>
  <c r="M20"/>
  <c r="G20"/>
  <c r="E20"/>
  <c r="O20"/>
  <c r="L20"/>
  <c r="N20"/>
  <c r="F20"/>
  <c r="H20"/>
  <c r="R21" l="1"/>
  <c r="Q21"/>
  <c r="G21" s="1"/>
  <c r="K31"/>
  <c r="H31"/>
  <c r="J29"/>
  <c r="P32"/>
  <c r="F31"/>
  <c r="E29"/>
  <c r="J32"/>
  <c r="O29"/>
  <c r="G32"/>
  <c r="F29"/>
  <c r="G29"/>
  <c r="K30"/>
  <c r="L32"/>
  <c r="K29"/>
  <c r="M32"/>
  <c r="Z142" i="5"/>
  <c r="AD142"/>
  <c r="AC142"/>
  <c r="H29" i="4"/>
  <c r="N32"/>
  <c r="E32"/>
  <c r="I29"/>
  <c r="L31"/>
  <c r="J31"/>
  <c r="O32"/>
  <c r="F32"/>
  <c r="B32"/>
  <c r="H32"/>
  <c r="L29"/>
  <c r="C29"/>
  <c r="E31"/>
  <c r="I32"/>
  <c r="B29"/>
  <c r="D29"/>
  <c r="I30"/>
  <c r="H30"/>
  <c r="K32"/>
  <c r="N29"/>
  <c r="M29"/>
  <c r="J30"/>
  <c r="C32"/>
  <c r="D32"/>
  <c r="P29"/>
  <c r="G30"/>
  <c r="R23"/>
  <c r="AB142" i="1"/>
  <c r="R31" i="4" s="1"/>
  <c r="Q31" s="1"/>
  <c r="B31" s="1"/>
  <c r="AB141" i="5"/>
  <c r="AA142" i="1"/>
  <c r="R30" i="4" s="1"/>
  <c r="Q30" s="1"/>
  <c r="B30" s="1"/>
  <c r="AA141" i="5"/>
  <c r="R19" i="4"/>
  <c r="M31" l="1"/>
  <c r="I31"/>
  <c r="M30"/>
  <c r="D30"/>
  <c r="E30"/>
  <c r="D31"/>
  <c r="F30"/>
  <c r="P31"/>
  <c r="N31"/>
  <c r="L30"/>
  <c r="C31"/>
  <c r="O31"/>
  <c r="O30"/>
  <c r="G31"/>
  <c r="P30"/>
  <c r="N30"/>
  <c r="E21"/>
  <c r="B21"/>
  <c r="H21"/>
  <c r="J21"/>
  <c r="D21"/>
  <c r="P21"/>
  <c r="M21"/>
  <c r="C21"/>
  <c r="I21"/>
  <c r="N21"/>
  <c r="F21"/>
  <c r="K21"/>
  <c r="L21"/>
  <c r="O21"/>
  <c r="AB142" i="5"/>
  <c r="AA142"/>
  <c r="C30" i="4"/>
  <c r="E19"/>
  <c r="L19"/>
  <c r="K19"/>
  <c r="N19"/>
  <c r="B19"/>
  <c r="P19"/>
  <c r="C19"/>
  <c r="H19"/>
  <c r="I19"/>
  <c r="F19"/>
  <c r="M19"/>
  <c r="J19"/>
  <c r="O19"/>
  <c r="D19"/>
  <c r="G19"/>
  <c r="C23"/>
  <c r="C33" s="1"/>
  <c r="O23"/>
  <c r="O33" s="1"/>
  <c r="D23"/>
  <c r="D33" s="1"/>
  <c r="I23"/>
  <c r="I33" s="1"/>
  <c r="L23"/>
  <c r="L33" s="1"/>
  <c r="B23"/>
  <c r="B33" s="1"/>
  <c r="B34" s="1"/>
  <c r="N23"/>
  <c r="N33" s="1"/>
  <c r="J23"/>
  <c r="J33" s="1"/>
  <c r="J34" s="1"/>
  <c r="J36" s="1"/>
  <c r="M151" i="5" s="1"/>
  <c r="E23" i="4"/>
  <c r="E33" s="1"/>
  <c r="F23"/>
  <c r="F33" s="1"/>
  <c r="K23"/>
  <c r="K33" s="1"/>
  <c r="K34" s="1"/>
  <c r="K36" s="1"/>
  <c r="N151" i="5" s="1"/>
  <c r="G23" i="4"/>
  <c r="G33" s="1"/>
  <c r="P23"/>
  <c r="P33" s="1"/>
  <c r="M23"/>
  <c r="M33" s="1"/>
  <c r="H23"/>
  <c r="H33" s="1"/>
  <c r="H34" s="1"/>
  <c r="H36" s="1"/>
  <c r="K151" i="5" s="1"/>
  <c r="E34" i="4" l="1"/>
  <c r="E36" s="1"/>
  <c r="H151" i="5" s="1"/>
  <c r="I34" i="4"/>
  <c r="I36" s="1"/>
  <c r="L151" i="5" s="1"/>
  <c r="M34" i="4"/>
  <c r="M36" s="1"/>
  <c r="P151" i="5" s="1"/>
  <c r="F34" i="4"/>
  <c r="F36" s="1"/>
  <c r="I151" i="5" s="1"/>
  <c r="D34" i="4"/>
  <c r="D36" s="1"/>
  <c r="G151" i="5" s="1"/>
  <c r="N34" i="4"/>
  <c r="N36" s="1"/>
  <c r="Q151" i="5" s="1"/>
  <c r="O34" i="4"/>
  <c r="O36" s="1"/>
  <c r="R151" i="5" s="1"/>
  <c r="L34" i="4"/>
  <c r="L36" s="1"/>
  <c r="O151" i="5" s="1"/>
  <c r="P34" i="4"/>
  <c r="P36" s="1"/>
  <c r="S151" i="5" s="1"/>
  <c r="C34" i="4"/>
  <c r="C36" s="1"/>
  <c r="F151" i="5" s="1"/>
  <c r="G34" i="4"/>
  <c r="G36" s="1"/>
  <c r="J151" i="5" s="1"/>
  <c r="O24" i="4"/>
  <c r="R150" i="5" s="1"/>
  <c r="J24" i="4"/>
  <c r="M150" i="5" s="1"/>
  <c r="F24" i="4"/>
  <c r="I150" i="5" s="1"/>
  <c r="I24" i="4"/>
  <c r="L150" i="5" s="1"/>
  <c r="E24" i="4"/>
  <c r="H150" i="5" s="1"/>
  <c r="D24" i="4"/>
  <c r="G150" i="5" s="1"/>
  <c r="P24" i="4"/>
  <c r="S150" i="5" s="1"/>
  <c r="H24" i="4"/>
  <c r="K150" i="5" s="1"/>
  <c r="G24" i="4"/>
  <c r="J150" i="5" s="1"/>
  <c r="B24" i="4"/>
  <c r="E150" i="5" s="1"/>
  <c r="N24" i="4"/>
  <c r="Q150" i="5" s="1"/>
  <c r="K24" i="4"/>
  <c r="N150" i="5" s="1"/>
  <c r="M24" i="4"/>
  <c r="P150" i="5" s="1"/>
  <c r="L24" i="4"/>
  <c r="O150" i="5" s="1"/>
  <c r="C24" i="4"/>
  <c r="F150" i="5" s="1"/>
  <c r="B36" i="4"/>
  <c r="E151" i="5" s="1"/>
  <c r="P38" i="4" l="1"/>
  <c r="P26"/>
</calcChain>
</file>

<file path=xl/sharedStrings.xml><?xml version="1.0" encoding="utf-8"?>
<sst xmlns="http://schemas.openxmlformats.org/spreadsheetml/2006/main" count="423" uniqueCount="242">
  <si>
    <t>Faculty Name:</t>
  </si>
  <si>
    <t>Course:</t>
  </si>
  <si>
    <t>YEAR</t>
  </si>
  <si>
    <t>SESSION</t>
  </si>
  <si>
    <t xml:space="preserve">S. No. </t>
  </si>
  <si>
    <t>Name of Student</t>
  </si>
  <si>
    <t>CO1</t>
  </si>
  <si>
    <t>CO2</t>
  </si>
  <si>
    <t>CO3</t>
  </si>
  <si>
    <t>CO4</t>
  </si>
  <si>
    <t>CO5</t>
  </si>
  <si>
    <r>
      <rPr>
        <b/>
        <sz val="11"/>
        <color indexed="8"/>
        <rFont val="Calibri"/>
        <family val="2"/>
      </rPr>
      <t>Σ</t>
    </r>
    <r>
      <rPr>
        <b/>
        <sz val="11"/>
        <color indexed="8"/>
        <rFont val="Calibri"/>
        <family val="2"/>
      </rPr>
      <t>CO</t>
    </r>
  </si>
  <si>
    <t>%</t>
  </si>
  <si>
    <t>ATTAINMENT TABLE</t>
  </si>
  <si>
    <t>ATTAINMENT CRITERIA</t>
  </si>
  <si>
    <t>PO ATTAINMENT USING CO (DIRECT METHOD)</t>
  </si>
  <si>
    <t>CO PO MAPPING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</si>
  <si>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</si>
  <si>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</si>
  <si>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</si>
  <si>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</si>
  <si>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</si>
  <si>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</si>
  <si>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</si>
  <si>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</si>
  <si>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</si>
  <si>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</si>
  <si>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</si>
  <si>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</si>
  <si>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</si>
  <si>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</si>
  <si>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</si>
  <si>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AVG</t>
  </si>
  <si>
    <t>SEM</t>
  </si>
  <si>
    <t>ABSENTEE+NOT ATTEMPT</t>
  </si>
  <si>
    <t>PRESENT STUDENT OR ATTEMPT</t>
  </si>
  <si>
    <t>CO WISE MAXIMUM MARKS</t>
  </si>
  <si>
    <t>BRANCH</t>
  </si>
  <si>
    <t>SESSION:</t>
  </si>
  <si>
    <t>SEMESTER:</t>
  </si>
  <si>
    <t>WT. AVG</t>
  </si>
  <si>
    <t>Please fill "AB" for Absent and "UR" for Unregistered candidate(s)</t>
  </si>
  <si>
    <t>II</t>
  </si>
  <si>
    <t>III</t>
  </si>
  <si>
    <t>IV</t>
  </si>
  <si>
    <t>Final attainment level CO (by Direct Assessement):</t>
  </si>
  <si>
    <t>TEZPUR UNIVERSITY</t>
  </si>
  <si>
    <t>Maximum Marks</t>
  </si>
  <si>
    <t>TOTAL</t>
  </si>
  <si>
    <t>ABSENTEE RECORD</t>
  </si>
  <si>
    <t>"AB" or "UR"</t>
  </si>
  <si>
    <t xml:space="preserve"> Threshold % for CO attainment</t>
  </si>
  <si>
    <r>
      <t xml:space="preserve">CO Attainment (3 </t>
    </r>
    <r>
      <rPr>
        <b/>
        <sz val="10"/>
        <color theme="1"/>
        <rFont val="Times New Roman"/>
        <family val="1"/>
      </rPr>
      <t>≥</t>
    </r>
    <r>
      <rPr>
        <b/>
        <sz val="10"/>
        <color theme="1"/>
        <rFont val="Calibri"/>
        <family val="2"/>
      </rPr>
      <t xml:space="preserve"> 70%, 2 </t>
    </r>
    <r>
      <rPr>
        <b/>
        <sz val="10"/>
        <color theme="1"/>
        <rFont val="Times New Roman"/>
        <family val="1"/>
      </rPr>
      <t>≥60%, 1 ≥ 50%)</t>
    </r>
  </si>
  <si>
    <t>CO ATTNT(Norm)</t>
  </si>
  <si>
    <t xml:space="preserve"> </t>
  </si>
  <si>
    <t>CO ATTAINMENT in 3.0 POINT Scale</t>
  </si>
  <si>
    <t>CO ATTAINMENT in ABSOLUTE Scale</t>
  </si>
  <si>
    <t xml:space="preserve">PASSING MARKS (%) </t>
  </si>
  <si>
    <t>NO. OF STUDENTS SECURE MARKS &gt; THRESHOLD % FOR CO ATTAINMENT</t>
  </si>
  <si>
    <t>PC. OF STUDENTS SECURE MARKS &gt; THRESHOLD % FOR CO ATTAINMENT</t>
  </si>
  <si>
    <t>NO. OF STUDENTS SECURE MARKS &gt; PASSING MARKS</t>
  </si>
  <si>
    <r>
      <t>CO Attainment (AVERAGE OF PERCENTAGE ATTAINMENTS</t>
    </r>
    <r>
      <rPr>
        <b/>
        <sz val="10"/>
        <color theme="1"/>
        <rFont val="Times New Roman"/>
        <family val="1"/>
      </rPr>
      <t>)</t>
    </r>
  </si>
  <si>
    <t>PC. OF STUDENTS SECURE MARKS &gt; PASSING MARKS</t>
  </si>
  <si>
    <t>Final attainment level CO (IN ABSOLUTE SCALE):</t>
  </si>
  <si>
    <t>SUM</t>
  </si>
  <si>
    <t>WTG</t>
  </si>
  <si>
    <t>OVERALL PO ATTAINMENT IN 3 POINT SCALE</t>
  </si>
  <si>
    <t>OVERALL PO ATTAINMENT IN PERCENTAGE</t>
  </si>
  <si>
    <t>COMPUTATION BY MAPPED CO-PO (3 POINT SCALE)</t>
  </si>
  <si>
    <t>COMPUTATION BY MAPPED CO-PO (PERCENTAGE)</t>
  </si>
  <si>
    <t>Fill the CO-PO Mapping for the course:</t>
  </si>
  <si>
    <t>PO Attainment (3 point Scale)</t>
  </si>
  <si>
    <t>PO Attainment (Absolute Scale)</t>
  </si>
  <si>
    <t>PO ATTAINMENT</t>
  </si>
  <si>
    <t>Please fill "AB" for Absent and "UR" for Unregistered or withdeawn student(s)</t>
  </si>
  <si>
    <t>Programme:</t>
  </si>
  <si>
    <t>B. Tech</t>
  </si>
  <si>
    <t>Course</t>
  </si>
  <si>
    <t>Course Code</t>
  </si>
  <si>
    <t>Assessment of End Sem Exam</t>
  </si>
  <si>
    <t>Assessment of Mid Sem Exam</t>
  </si>
  <si>
    <t>Assessment of TEST -II</t>
  </si>
  <si>
    <t>Assessment of TEST -I</t>
  </si>
  <si>
    <t>Roll No.</t>
  </si>
  <si>
    <t>Course Code:</t>
  </si>
  <si>
    <t>Assessment of End Term Exam</t>
  </si>
  <si>
    <t>Assessment for Mid Term Exam</t>
  </si>
  <si>
    <t xml:space="preserve"> Assessment of Test -II</t>
  </si>
  <si>
    <t>Assessment of Test -I</t>
  </si>
  <si>
    <t>COURSE CODE:</t>
  </si>
  <si>
    <t>Branch:</t>
  </si>
  <si>
    <t>Year:</t>
  </si>
  <si>
    <t>FEB24020</t>
  </si>
  <si>
    <t>Pallabi Adhikari</t>
  </si>
  <si>
    <t>FEB24023</t>
  </si>
  <si>
    <t>Bhabani Sankar Nath</t>
  </si>
  <si>
    <t>FEB24025</t>
  </si>
  <si>
    <t>Akash Deep Chetia</t>
  </si>
  <si>
    <t>FEB24029</t>
  </si>
  <si>
    <t>Hriday Pratim Das</t>
  </si>
  <si>
    <t>FEB24033</t>
  </si>
  <si>
    <t>Venkata Sumanth Vinjamuri</t>
  </si>
  <si>
    <t>FEB24034</t>
  </si>
  <si>
    <t>Krisha Deka</t>
  </si>
  <si>
    <t>FEB24035</t>
  </si>
  <si>
    <t>Rahul Saikia</t>
  </si>
  <si>
    <t>FEB24036</t>
  </si>
  <si>
    <t>Rishab Kumar</t>
  </si>
  <si>
    <t>FEB24037</t>
  </si>
  <si>
    <t>Rahul Kumar Choudhary</t>
  </si>
  <si>
    <t>FEB24038</t>
  </si>
  <si>
    <t>Shivam Hari</t>
  </si>
  <si>
    <t>FEB24039</t>
  </si>
  <si>
    <t>Sourav Goswami</t>
  </si>
  <si>
    <t>FEB24040</t>
  </si>
  <si>
    <t>Boddu Navyan</t>
  </si>
  <si>
    <t>FEB24041</t>
  </si>
  <si>
    <t>Intiab Ahmed</t>
  </si>
  <si>
    <t>FEB24042</t>
  </si>
  <si>
    <t>Dhrubajita Talukdar</t>
  </si>
  <si>
    <t>FEB24043</t>
  </si>
  <si>
    <t>Altrab Ahmed</t>
  </si>
  <si>
    <t>FEB24045</t>
  </si>
  <si>
    <t>Neha Kour</t>
  </si>
  <si>
    <t>FEB24046</t>
  </si>
  <si>
    <t>Plaban Jyoti Bhuyan</t>
  </si>
  <si>
    <t>FEB24048</t>
  </si>
  <si>
    <t>Manoj Upadhyaya</t>
  </si>
  <si>
    <t>FEB24049</t>
  </si>
  <si>
    <t>Subarna Baishya</t>
  </si>
  <si>
    <t>FEB24050</t>
  </si>
  <si>
    <t>Jahnab Dutta</t>
  </si>
  <si>
    <t>FEB24052</t>
  </si>
  <si>
    <t>Debarupa Dhwaj Boruah</t>
  </si>
  <si>
    <t>FEB24053</t>
  </si>
  <si>
    <t>Pritishmita Hazarika</t>
  </si>
  <si>
    <t>FEB24054</t>
  </si>
  <si>
    <t>Dhritishman Gogoi</t>
  </si>
  <si>
    <t>FEB24055</t>
  </si>
  <si>
    <t>Md Masum Rahman</t>
  </si>
  <si>
    <t>FEB24057</t>
  </si>
  <si>
    <t>Naba Pallab Nath</t>
  </si>
  <si>
    <t>FEB24059</t>
  </si>
  <si>
    <t>Tapan Kumar Gogoi</t>
  </si>
  <si>
    <t>FEB24060</t>
  </si>
  <si>
    <t>Bidyut Patar</t>
  </si>
  <si>
    <t>FEB24061</t>
  </si>
  <si>
    <t>Dhurba Raj Borah</t>
  </si>
  <si>
    <t>FEB24062</t>
  </si>
  <si>
    <t>Prabal Phukan</t>
  </si>
  <si>
    <t>FEB24063</t>
  </si>
  <si>
    <t>Yuvaraj Nath</t>
  </si>
  <si>
    <t>FEB24064</t>
  </si>
  <si>
    <t>Jayanta Daimari</t>
  </si>
  <si>
    <t>FEB24065</t>
  </si>
  <si>
    <t>Joyshree Phukan</t>
  </si>
  <si>
    <t>FEB24067</t>
  </si>
  <si>
    <t>Ashutosh Kumar Gautam</t>
  </si>
  <si>
    <t>FEB24068</t>
  </si>
  <si>
    <t>Shivani Chandra</t>
  </si>
  <si>
    <t>FEB24069</t>
  </si>
  <si>
    <t>Jadi Varshith</t>
  </si>
  <si>
    <t>FEB24070</t>
  </si>
  <si>
    <t>Raj Biswas</t>
  </si>
  <si>
    <t>FEB24071</t>
  </si>
  <si>
    <t>BHARGAV DAS</t>
  </si>
  <si>
    <t>FEB24072</t>
  </si>
  <si>
    <t>MUFASSIR AL HASAN</t>
  </si>
  <si>
    <t>FEB24073</t>
  </si>
  <si>
    <t>SANSWRANG BASUMATARY</t>
  </si>
  <si>
    <t>FEB24074</t>
  </si>
  <si>
    <t>GIRI SANKAR DAS</t>
  </si>
  <si>
    <t>FEB24075</t>
  </si>
  <si>
    <t>AYAN HAZARIKA</t>
  </si>
  <si>
    <t>FEB24076</t>
  </si>
  <si>
    <t>BRISHTI KAUSHIK</t>
  </si>
  <si>
    <t>FEB24077</t>
  </si>
  <si>
    <t>SUSHANTA KISHUR KHANIKOR</t>
  </si>
  <si>
    <t>FEB24078</t>
  </si>
  <si>
    <t>RATNANGI KASHYAP</t>
  </si>
  <si>
    <t>FEB24079</t>
  </si>
  <si>
    <t>RUCHI PAUL</t>
  </si>
  <si>
    <t>FEB24080</t>
  </si>
  <si>
    <t>Elvis Milimo Wanyonic</t>
  </si>
  <si>
    <t>DBD24001</t>
  </si>
  <si>
    <t>Abhinav J.S Roodia</t>
  </si>
  <si>
    <t>DBD24002</t>
  </si>
  <si>
    <t>Neelashree Bhowmick</t>
  </si>
  <si>
    <t>DBD24004</t>
  </si>
  <si>
    <t>Devnirman Gogoi</t>
  </si>
  <si>
    <t>DBD24005</t>
  </si>
  <si>
    <t>Pranjal Bhattacharjee</t>
  </si>
  <si>
    <t>DBD24007</t>
  </si>
  <si>
    <t>Anchita Sharma</t>
  </si>
  <si>
    <t>DBD24008</t>
  </si>
  <si>
    <t>Bavrawee Phukan</t>
  </si>
  <si>
    <t>DBD24009</t>
  </si>
  <si>
    <t>Kritika Talukdar</t>
  </si>
  <si>
    <t>DBD24010</t>
  </si>
  <si>
    <t>Lenminthang Singson</t>
  </si>
  <si>
    <t>DBD24011</t>
  </si>
  <si>
    <t>Atharv Singha</t>
  </si>
  <si>
    <t>DBD24012</t>
  </si>
  <si>
    <t>Asha Gohain</t>
  </si>
  <si>
    <t>DBD24014</t>
  </si>
  <si>
    <t>Chandrima Borah</t>
  </si>
  <si>
    <t>DBD24015</t>
  </si>
  <si>
    <t>Dipti Chetry</t>
  </si>
  <si>
    <t>DBD24017</t>
  </si>
  <si>
    <t>Raju Mahato</t>
  </si>
  <si>
    <t>DBD24018</t>
  </si>
  <si>
    <t>Sneha Gogoi</t>
  </si>
  <si>
    <t>DBD24019</t>
  </si>
  <si>
    <t>Prantik Nath</t>
  </si>
  <si>
    <t>DBD24020</t>
  </si>
  <si>
    <t>Ragini K Hazarika</t>
  </si>
  <si>
    <t>DBD24021</t>
  </si>
  <si>
    <t>Bhaskar Barman</t>
  </si>
  <si>
    <t>DBD24022</t>
  </si>
  <si>
    <t>Tarininath Payeng</t>
  </si>
  <si>
    <t>DBD24023</t>
  </si>
  <si>
    <t>Ronak Kumar</t>
  </si>
  <si>
    <t>DBD24024</t>
  </si>
  <si>
    <t>Konna Sriram</t>
  </si>
  <si>
    <t>DBD24025</t>
  </si>
  <si>
    <t>Bhargob Jyoti Talukdar</t>
  </si>
  <si>
    <t>DBD24026</t>
  </si>
  <si>
    <t>Ishani Rajkhowa</t>
  </si>
  <si>
    <t>DBD24027</t>
  </si>
  <si>
    <t>Kanishk Dam</t>
  </si>
  <si>
    <t>DBD24028</t>
  </si>
  <si>
    <t>Danisha Ahmed</t>
  </si>
  <si>
    <t>DBD24029</t>
  </si>
  <si>
    <t>Shristi Dey</t>
  </si>
  <si>
    <t>DBD24030</t>
  </si>
  <si>
    <t>Shahid Ansari</t>
  </si>
  <si>
    <t>S S Satapathy</t>
  </si>
  <si>
    <t>FET and Design</t>
  </si>
  <si>
    <t>Programming for Problem Solving</t>
  </si>
  <si>
    <t>CSBT100</t>
  </si>
  <si>
    <t>I</t>
  </si>
  <si>
    <t>Autumn 2024</t>
  </si>
</sst>
</file>

<file path=xl/styles.xml><?xml version="1.0" encoding="utf-8"?>
<styleSheet xmlns="http://schemas.openxmlformats.org/spreadsheetml/2006/main">
  <numFmts count="2">
    <numFmt numFmtId="164" formatCode="#,&quot;DEPARTMENT&quot;"/>
    <numFmt numFmtId="165" formatCode="0.0"/>
  </numFmts>
  <fonts count="6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Myanmar Text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7"/>
      <color theme="1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theme="1"/>
      <name val="Calibri"/>
      <family val="2"/>
      <scheme val="minor"/>
    </font>
    <font>
      <b/>
      <sz val="12"/>
      <color theme="1"/>
      <name val="Myanmar Text"/>
      <family val="2"/>
    </font>
    <font>
      <b/>
      <sz val="16"/>
      <color theme="1"/>
      <name val="Calibri"/>
      <family val="2"/>
      <scheme val="minor"/>
    </font>
    <font>
      <sz val="10"/>
      <color theme="1"/>
      <name val="Myanmar Text"/>
      <family val="2"/>
    </font>
    <font>
      <b/>
      <sz val="10"/>
      <color theme="1"/>
      <name val="Arial Narrow"/>
      <family val="2"/>
    </font>
    <font>
      <b/>
      <sz val="10"/>
      <color theme="1"/>
      <name val="Myanmar Text"/>
      <family val="2"/>
    </font>
    <font>
      <b/>
      <sz val="10"/>
      <color theme="1"/>
      <name val="Times New Roman"/>
      <family val="1"/>
    </font>
    <font>
      <b/>
      <sz val="10"/>
      <color theme="1"/>
      <name val="Candara"/>
      <family val="2"/>
    </font>
    <font>
      <sz val="10"/>
      <color theme="0" tint="-0.34998626667073579"/>
      <name val="Myanmar Text"/>
      <family val="2"/>
    </font>
    <font>
      <b/>
      <sz val="10"/>
      <color theme="1"/>
      <name val="Calibri"/>
      <family val="2"/>
    </font>
    <font>
      <sz val="11"/>
      <color theme="0" tint="-0.14999847407452621"/>
      <name val="Myanmar Text"/>
      <family val="2"/>
    </font>
    <font>
      <b/>
      <sz val="12"/>
      <color theme="0" tint="-0.14999847407452621"/>
      <name val="Myanmar Text"/>
      <family val="2"/>
    </font>
    <font>
      <sz val="11"/>
      <color theme="0" tint="-0.1499984740745262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b/>
      <sz val="10"/>
      <color theme="5" tint="-0.499984740745262"/>
      <name val="Candara"/>
      <family val="2"/>
    </font>
    <font>
      <b/>
      <sz val="12"/>
      <color rgb="FFFF0000"/>
      <name val="Myanmar Text"/>
      <family val="2"/>
    </font>
    <font>
      <b/>
      <sz val="16"/>
      <color rgb="FFFF0000"/>
      <name val="Calibri"/>
      <family val="2"/>
      <scheme val="minor"/>
    </font>
    <font>
      <b/>
      <sz val="12"/>
      <color rgb="FFCF321D"/>
      <name val="Myanmar Text"/>
      <family val="2"/>
    </font>
    <font>
      <b/>
      <sz val="12"/>
      <color rgb="FFCF321D"/>
      <name val="Calibri"/>
      <family val="2"/>
      <scheme val="minor"/>
    </font>
    <font>
      <sz val="11"/>
      <color rgb="FFCF321D"/>
      <name val="Calibri"/>
      <family val="2"/>
      <scheme val="minor"/>
    </font>
    <font>
      <b/>
      <sz val="12"/>
      <color theme="4" tint="-0.499984740745262"/>
      <name val="Myanmar Text"/>
      <family val="2"/>
    </font>
    <font>
      <b/>
      <sz val="12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Myanmar Text"/>
      <family val="2"/>
    </font>
    <font>
      <b/>
      <sz val="18"/>
      <color theme="9" tint="-0.499984740745262"/>
      <name val="Calibri"/>
      <family val="2"/>
      <scheme val="minor"/>
    </font>
    <font>
      <b/>
      <sz val="12"/>
      <color rgb="FFFFC000"/>
      <name val="Myanmar Text"/>
      <family val="2"/>
    </font>
    <font>
      <b/>
      <sz val="12"/>
      <color theme="9" tint="-0.499984740745262"/>
      <name val="Myanmar Text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theme="1"/>
      <name val="Calibri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b/>
      <sz val="7"/>
      <color theme="1"/>
      <name val="Calibri"/>
    </font>
    <font>
      <sz val="9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 Narrow"/>
    </font>
    <font>
      <sz val="10"/>
      <color rgb="FF000000"/>
      <name val="Times New Roman"/>
      <family val="1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Arial Narrow"/>
    </font>
    <font>
      <b/>
      <sz val="10"/>
      <color theme="1"/>
      <name val="Times New Roman"/>
    </font>
    <font>
      <b/>
      <sz val="16"/>
      <color theme="1"/>
      <name val="Calibri"/>
    </font>
    <font>
      <sz val="11"/>
      <name val="Calibri"/>
    </font>
    <font>
      <b/>
      <sz val="11"/>
      <color theme="1"/>
      <name val="Calibri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B4B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2"/>
        <bgColor rgb="FFD0CECE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2"/>
        <bgColor rgb="FFE2EFD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2"/>
        <bgColor rgb="FFFBE4D5"/>
      </patternFill>
    </fill>
    <fill>
      <patternFill patternType="solid">
        <fgColor theme="2"/>
        <bgColor rgb="FFC5E0B3"/>
      </patternFill>
    </fill>
    <fill>
      <patternFill patternType="solid">
        <fgColor theme="2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8" fillId="0" borderId="0"/>
  </cellStyleXfs>
  <cellXfs count="298">
    <xf numFmtId="0" fontId="0" fillId="0" borderId="0" xfId="0"/>
    <xf numFmtId="2" fontId="14" fillId="8" borderId="16" xfId="0" applyNumberFormat="1" applyFont="1" applyFill="1" applyBorder="1" applyAlignment="1">
      <alignment horizontal="center" vertical="center"/>
    </xf>
    <xf numFmtId="3" fontId="9" fillId="0" borderId="11" xfId="1" applyNumberFormat="1" applyFont="1" applyBorder="1" applyAlignment="1">
      <alignment horizontal="center" vertical="center" wrapText="1"/>
    </xf>
    <xf numFmtId="3" fontId="9" fillId="0" borderId="4" xfId="1" applyNumberFormat="1" applyFont="1" applyBorder="1" applyAlignment="1">
      <alignment horizontal="center" vertical="center" wrapText="1"/>
    </xf>
    <xf numFmtId="3" fontId="9" fillId="0" borderId="10" xfId="1" applyNumberFormat="1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7" fillId="2" borderId="16" xfId="0" applyFont="1" applyFill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 applyProtection="1">
      <alignment horizontal="left" vertical="center" wrapText="1"/>
      <protection locked="0"/>
    </xf>
    <xf numFmtId="4" fontId="11" fillId="0" borderId="11" xfId="1" applyNumberFormat="1" applyFont="1" applyBorder="1" applyAlignment="1" applyProtection="1">
      <alignment horizontal="center" vertical="center" wrapText="1" shrinkToFit="1"/>
      <protection locked="0"/>
    </xf>
    <xf numFmtId="0" fontId="10" fillId="0" borderId="14" xfId="0" applyFont="1" applyBorder="1" applyAlignment="1" applyProtection="1">
      <alignment horizontal="center" vertical="center" wrapText="1"/>
      <protection locked="0"/>
    </xf>
    <xf numFmtId="0" fontId="10" fillId="0" borderId="14" xfId="0" applyFont="1" applyBorder="1" applyAlignment="1" applyProtection="1">
      <alignment horizontal="left" vertical="center" wrapText="1"/>
      <protection locked="0"/>
    </xf>
    <xf numFmtId="4" fontId="11" fillId="0" borderId="9" xfId="1" applyNumberFormat="1" applyFont="1" applyBorder="1" applyAlignment="1" applyProtection="1">
      <alignment horizontal="center" vertical="center" wrapText="1" shrinkToFi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3" fontId="21" fillId="0" borderId="0" xfId="0" applyNumberFormat="1" applyFont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3" fontId="17" fillId="9" borderId="16" xfId="0" applyNumberFormat="1" applyFont="1" applyFill="1" applyBorder="1" applyAlignment="1">
      <alignment horizontal="center" vertical="center" wrapText="1"/>
    </xf>
    <xf numFmtId="2" fontId="17" fillId="9" borderId="16" xfId="0" applyNumberFormat="1" applyFont="1" applyFill="1" applyBorder="1" applyAlignment="1">
      <alignment horizontal="center" vertical="center" wrapText="1"/>
    </xf>
    <xf numFmtId="0" fontId="13" fillId="8" borderId="16" xfId="0" applyFont="1" applyFill="1" applyBorder="1" applyAlignment="1">
      <alignment horizontal="center" vertical="center" wrapText="1"/>
    </xf>
    <xf numFmtId="2" fontId="17" fillId="8" borderId="16" xfId="0" applyNumberFormat="1" applyFont="1" applyFill="1" applyBorder="1" applyAlignment="1">
      <alignment horizontal="center" vertical="center" wrapText="1"/>
    </xf>
    <xf numFmtId="2" fontId="16" fillId="8" borderId="16" xfId="0" applyNumberFormat="1" applyFont="1" applyFill="1" applyBorder="1" applyAlignment="1">
      <alignment horizontal="center" vertical="center" wrapText="1"/>
    </xf>
    <xf numFmtId="4" fontId="12" fillId="4" borderId="13" xfId="1" applyNumberFormat="1" applyFont="1" applyFill="1" applyBorder="1" applyAlignment="1">
      <alignment horizontal="center" vertical="center" wrapText="1" shrinkToFit="1"/>
    </xf>
    <xf numFmtId="4" fontId="12" fillId="0" borderId="13" xfId="1" applyNumberFormat="1" applyFont="1" applyBorder="1" applyAlignment="1">
      <alignment horizontal="center" vertical="center" wrapText="1" shrinkToFit="1"/>
    </xf>
    <xf numFmtId="0" fontId="0" fillId="0" borderId="0" xfId="0" applyAlignment="1" applyProtection="1">
      <alignment vertical="center"/>
      <protection locked="0"/>
    </xf>
    <xf numFmtId="0" fontId="14" fillId="0" borderId="16" xfId="0" applyFont="1" applyBorder="1" applyAlignment="1" applyProtection="1">
      <alignment horizontal="center" vertical="center"/>
      <protection locked="0"/>
    </xf>
    <xf numFmtId="2" fontId="14" fillId="8" borderId="16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14" fillId="7" borderId="16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2" fontId="14" fillId="0" borderId="16" xfId="0" applyNumberFormat="1" applyFont="1" applyBorder="1" applyAlignment="1">
      <alignment horizontal="center" vertical="center"/>
    </xf>
    <xf numFmtId="2" fontId="25" fillId="0" borderId="0" xfId="0" applyNumberFormat="1" applyFont="1" applyAlignment="1">
      <alignment vertical="center"/>
    </xf>
    <xf numFmtId="0" fontId="14" fillId="5" borderId="16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8" fillId="8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 applyProtection="1">
      <alignment horizontal="center" vertical="center" wrapText="1"/>
      <protection locked="0"/>
    </xf>
    <xf numFmtId="0" fontId="1" fillId="4" borderId="23" xfId="0" applyFont="1" applyFill="1" applyBorder="1" applyAlignment="1">
      <alignment horizontal="center" vertical="center" wrapText="1"/>
    </xf>
    <xf numFmtId="3" fontId="17" fillId="9" borderId="16" xfId="0" applyNumberFormat="1" applyFont="1" applyFill="1" applyBorder="1" applyAlignment="1">
      <alignment horizontal="right" vertical="center" wrapText="1"/>
    </xf>
    <xf numFmtId="2" fontId="17" fillId="9" borderId="16" xfId="0" applyNumberFormat="1" applyFont="1" applyFill="1" applyBorder="1" applyAlignment="1">
      <alignment horizontal="right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12" borderId="23" xfId="0" applyFont="1" applyFill="1" applyBorder="1" applyAlignment="1">
      <alignment horizontal="center" vertical="center" wrapText="1"/>
    </xf>
    <xf numFmtId="0" fontId="5" fillId="12" borderId="16" xfId="0" applyFont="1" applyFill="1" applyBorder="1" applyAlignment="1">
      <alignment horizontal="center" vertical="center" wrapText="1"/>
    </xf>
    <xf numFmtId="3" fontId="17" fillId="6" borderId="0" xfId="0" applyNumberFormat="1" applyFont="1" applyFill="1" applyAlignment="1">
      <alignment horizontal="center" vertical="center" wrapText="1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21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2" fillId="9" borderId="6" xfId="0" applyFont="1" applyFill="1" applyBorder="1" applyAlignment="1">
      <alignment horizontal="left" vertical="center" wrapText="1"/>
    </xf>
    <xf numFmtId="0" fontId="2" fillId="9" borderId="7" xfId="0" applyFont="1" applyFill="1" applyBorder="1" applyAlignment="1">
      <alignment horizontal="left" vertical="center" wrapText="1"/>
    </xf>
    <xf numFmtId="3" fontId="17" fillId="14" borderId="16" xfId="0" applyNumberFormat="1" applyFont="1" applyFill="1" applyBorder="1" applyAlignment="1">
      <alignment horizontal="right" vertical="center" wrapText="1"/>
    </xf>
    <xf numFmtId="2" fontId="17" fillId="14" borderId="16" xfId="0" applyNumberFormat="1" applyFont="1" applyFill="1" applyBorder="1" applyAlignment="1">
      <alignment horizontal="right" vertical="center" wrapText="1"/>
    </xf>
    <xf numFmtId="3" fontId="17" fillId="13" borderId="16" xfId="0" applyNumberFormat="1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2" fontId="14" fillId="8" borderId="0" xfId="0" applyNumberFormat="1" applyFont="1" applyFill="1" applyAlignment="1">
      <alignment horizontal="center" vertical="center"/>
    </xf>
    <xf numFmtId="0" fontId="3" fillId="2" borderId="0" xfId="0" applyFont="1" applyFill="1" applyAlignment="1" applyProtection="1">
      <alignment vertical="center" wrapText="1"/>
      <protection locked="0"/>
    </xf>
    <xf numFmtId="3" fontId="43" fillId="9" borderId="16" xfId="0" applyNumberFormat="1" applyFont="1" applyFill="1" applyBorder="1" applyAlignment="1">
      <alignment horizontal="right" vertical="center" wrapText="1"/>
    </xf>
    <xf numFmtId="3" fontId="43" fillId="14" borderId="16" xfId="0" applyNumberFormat="1" applyFont="1" applyFill="1" applyBorder="1" applyAlignment="1">
      <alignment horizontal="right" vertical="center" wrapText="1"/>
    </xf>
    <xf numFmtId="2" fontId="43" fillId="14" borderId="16" xfId="0" applyNumberFormat="1" applyFont="1" applyFill="1" applyBorder="1" applyAlignment="1">
      <alignment horizontal="right" vertical="center" wrapText="1"/>
    </xf>
    <xf numFmtId="4" fontId="43" fillId="9" borderId="16" xfId="0" applyNumberFormat="1" applyFont="1" applyFill="1" applyBorder="1" applyAlignment="1">
      <alignment horizontal="right" vertical="center" wrapText="1"/>
    </xf>
    <xf numFmtId="2" fontId="44" fillId="8" borderId="16" xfId="0" applyNumberFormat="1" applyFont="1" applyFill="1" applyBorder="1" applyAlignment="1">
      <alignment horizontal="center" vertical="center" wrapText="1"/>
    </xf>
    <xf numFmtId="2" fontId="44" fillId="8" borderId="33" xfId="0" applyNumberFormat="1" applyFont="1" applyFill="1" applyBorder="1" applyAlignment="1">
      <alignment horizontal="center" vertical="center" wrapText="1"/>
    </xf>
    <xf numFmtId="3" fontId="43" fillId="9" borderId="5" xfId="0" applyNumberFormat="1" applyFont="1" applyFill="1" applyBorder="1" applyAlignment="1">
      <alignment horizontal="right" vertical="center" wrapText="1"/>
    </xf>
    <xf numFmtId="4" fontId="43" fillId="9" borderId="5" xfId="0" applyNumberFormat="1" applyFont="1" applyFill="1" applyBorder="1" applyAlignment="1">
      <alignment horizontal="right" vertical="center" wrapText="1"/>
    </xf>
    <xf numFmtId="2" fontId="5" fillId="8" borderId="16" xfId="0" applyNumberFormat="1" applyFont="1" applyFill="1" applyBorder="1" applyAlignment="1">
      <alignment horizontal="center" vertical="center" wrapText="1"/>
    </xf>
    <xf numFmtId="2" fontId="5" fillId="8" borderId="5" xfId="0" applyNumberFormat="1" applyFont="1" applyFill="1" applyBorder="1" applyAlignment="1">
      <alignment horizontal="center" vertical="center" wrapText="1"/>
    </xf>
    <xf numFmtId="3" fontId="43" fillId="9" borderId="23" xfId="0" applyNumberFormat="1" applyFont="1" applyFill="1" applyBorder="1" applyAlignment="1">
      <alignment horizontal="right" vertical="center" wrapText="1"/>
    </xf>
    <xf numFmtId="4" fontId="43" fillId="9" borderId="23" xfId="0" applyNumberFormat="1" applyFont="1" applyFill="1" applyBorder="1" applyAlignment="1">
      <alignment horizontal="right" vertical="center" wrapText="1"/>
    </xf>
    <xf numFmtId="0" fontId="44" fillId="0" borderId="0" xfId="0" applyFont="1" applyAlignment="1" applyProtection="1">
      <alignment horizontal="center" vertical="center" wrapText="1"/>
      <protection locked="0"/>
    </xf>
    <xf numFmtId="3" fontId="17" fillId="6" borderId="0" xfId="0" applyNumberFormat="1" applyFont="1" applyFill="1" applyAlignment="1" applyProtection="1">
      <alignment horizontal="center" vertical="center" wrapText="1"/>
      <protection locked="0"/>
    </xf>
    <xf numFmtId="0" fontId="1" fillId="4" borderId="23" xfId="0" applyFont="1" applyFill="1" applyBorder="1" applyAlignment="1" applyProtection="1">
      <alignment horizontal="center" vertical="center" wrapText="1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5" fillId="2" borderId="16" xfId="0" applyFont="1" applyFill="1" applyBorder="1" applyAlignment="1" applyProtection="1">
      <alignment horizontal="center" vertical="center" wrapText="1"/>
      <protection locked="0"/>
    </xf>
    <xf numFmtId="3" fontId="9" fillId="0" borderId="11" xfId="1" applyNumberFormat="1" applyFont="1" applyBorder="1" applyAlignment="1" applyProtection="1">
      <alignment horizontal="center" vertical="center" wrapText="1"/>
      <protection locked="0"/>
    </xf>
    <xf numFmtId="3" fontId="9" fillId="0" borderId="4" xfId="1" applyNumberFormat="1" applyFont="1" applyBorder="1" applyAlignment="1" applyProtection="1">
      <alignment horizontal="center" vertical="center" wrapText="1"/>
      <protection locked="0"/>
    </xf>
    <xf numFmtId="3" fontId="9" fillId="0" borderId="10" xfId="1" applyNumberFormat="1" applyFont="1" applyBorder="1" applyAlignment="1" applyProtection="1">
      <alignment horizontal="center" vertical="center" wrapText="1"/>
      <protection locked="0"/>
    </xf>
    <xf numFmtId="0" fontId="2" fillId="9" borderId="6" xfId="0" applyFont="1" applyFill="1" applyBorder="1" applyAlignment="1" applyProtection="1">
      <alignment horizontal="left" vertical="center" wrapText="1"/>
      <protection locked="0"/>
    </xf>
    <xf numFmtId="0" fontId="2" fillId="9" borderId="7" xfId="0" applyFont="1" applyFill="1" applyBorder="1" applyAlignment="1" applyProtection="1">
      <alignment horizontal="left" vertical="center" wrapText="1"/>
      <protection locked="0"/>
    </xf>
    <xf numFmtId="0" fontId="13" fillId="8" borderId="16" xfId="0" applyFont="1" applyFill="1" applyBorder="1" applyAlignment="1" applyProtection="1">
      <alignment horizontal="center" vertical="center" wrapText="1"/>
      <protection locked="0"/>
    </xf>
    <xf numFmtId="2" fontId="17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" fillId="9" borderId="22" xfId="0" applyFont="1" applyFill="1" applyBorder="1" applyAlignment="1" applyProtection="1">
      <alignment horizontal="center" textRotation="90" wrapText="1"/>
      <protection locked="0"/>
    </xf>
    <xf numFmtId="0" fontId="27" fillId="10" borderId="22" xfId="0" applyFont="1" applyFill="1" applyBorder="1" applyAlignment="1" applyProtection="1">
      <alignment horizontal="center" vertical="center" wrapText="1"/>
      <protection locked="0"/>
    </xf>
    <xf numFmtId="0" fontId="27" fillId="10" borderId="21" xfId="0" applyFont="1" applyFill="1" applyBorder="1" applyAlignment="1" applyProtection="1">
      <alignment horizontal="center" vertical="center" wrapText="1"/>
      <protection locked="0"/>
    </xf>
    <xf numFmtId="0" fontId="27" fillId="10" borderId="32" xfId="0" applyFont="1" applyFill="1" applyBorder="1" applyAlignment="1" applyProtection="1">
      <alignment horizontal="center" vertical="center" wrapText="1"/>
      <protection locked="0"/>
    </xf>
    <xf numFmtId="0" fontId="1" fillId="4" borderId="5" xfId="0" applyFont="1" applyFill="1" applyBorder="1" applyAlignment="1" applyProtection="1">
      <alignment horizontal="right" vertical="center" textRotation="90" wrapText="1"/>
      <protection locked="0"/>
    </xf>
    <xf numFmtId="0" fontId="5" fillId="9" borderId="6" xfId="0" applyFont="1" applyFill="1" applyBorder="1" applyAlignment="1" applyProtection="1">
      <alignment horizontal="right" vertical="center" wrapText="1"/>
      <protection locked="0"/>
    </xf>
    <xf numFmtId="0" fontId="5" fillId="9" borderId="2" xfId="0" applyFont="1" applyFill="1" applyBorder="1" applyAlignment="1" applyProtection="1">
      <alignment horizontal="right" vertical="center" wrapText="1"/>
      <protection locked="0"/>
    </xf>
    <xf numFmtId="3" fontId="17" fillId="9" borderId="3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15" xfId="0" applyBorder="1" applyAlignment="1" applyProtection="1">
      <alignment horizontal="center" wrapText="1"/>
      <protection locked="0"/>
    </xf>
    <xf numFmtId="0" fontId="14" fillId="7" borderId="16" xfId="0" applyFont="1" applyFill="1" applyBorder="1" applyAlignment="1" applyProtection="1">
      <alignment horizontal="center" vertical="center"/>
      <protection locked="0"/>
    </xf>
    <xf numFmtId="0" fontId="14" fillId="7" borderId="5" xfId="0" applyFont="1" applyFill="1" applyBorder="1" applyAlignment="1" applyProtection="1">
      <alignment horizontal="center" vertical="center"/>
      <protection locked="0"/>
    </xf>
    <xf numFmtId="0" fontId="14" fillId="7" borderId="23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right" vertical="center" wrapText="1"/>
      <protection locked="0"/>
    </xf>
    <xf numFmtId="3" fontId="17" fillId="2" borderId="0" xfId="0" applyNumberFormat="1" applyFont="1" applyFill="1" applyAlignment="1" applyProtection="1">
      <alignment horizontal="right" vertical="center" wrapText="1"/>
      <protection locked="0"/>
    </xf>
    <xf numFmtId="2" fontId="16" fillId="2" borderId="0" xfId="0" applyNumberFormat="1" applyFont="1" applyFill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165" fontId="46" fillId="19" borderId="23" xfId="0" applyNumberFormat="1" applyFont="1" applyFill="1" applyBorder="1" applyAlignment="1" applyProtection="1">
      <alignment horizontal="center" vertical="center" wrapText="1"/>
      <protection hidden="1"/>
    </xf>
    <xf numFmtId="2" fontId="47" fillId="19" borderId="23" xfId="0" applyNumberFormat="1" applyFont="1" applyFill="1" applyBorder="1" applyAlignment="1" applyProtection="1">
      <alignment horizontal="center" vertical="center" wrapText="1"/>
      <protection hidden="1"/>
    </xf>
    <xf numFmtId="3" fontId="50" fillId="21" borderId="35" xfId="0" applyNumberFormat="1" applyFont="1" applyFill="1" applyBorder="1" applyAlignment="1">
      <alignment horizontal="center" vertical="center" wrapText="1"/>
    </xf>
    <xf numFmtId="0" fontId="51" fillId="21" borderId="35" xfId="0" applyFont="1" applyFill="1" applyBorder="1" applyAlignment="1">
      <alignment horizontal="center" vertical="center" wrapText="1"/>
    </xf>
    <xf numFmtId="0" fontId="52" fillId="0" borderId="23" xfId="0" applyFont="1" applyBorder="1" applyAlignment="1">
      <alignment vertical="center"/>
    </xf>
    <xf numFmtId="3" fontId="50" fillId="21" borderId="23" xfId="0" applyNumberFormat="1" applyFont="1" applyFill="1" applyBorder="1" applyAlignment="1">
      <alignment horizontal="center" vertical="center" wrapText="1"/>
    </xf>
    <xf numFmtId="0" fontId="51" fillId="21" borderId="23" xfId="0" applyFont="1" applyFill="1" applyBorder="1" applyAlignment="1">
      <alignment horizontal="center" vertical="center" wrapText="1"/>
    </xf>
    <xf numFmtId="0" fontId="5" fillId="22" borderId="23" xfId="0" applyFont="1" applyFill="1" applyBorder="1" applyAlignment="1">
      <alignment horizontal="center" vertical="center"/>
    </xf>
    <xf numFmtId="0" fontId="53" fillId="23" borderId="23" xfId="0" applyFont="1" applyFill="1" applyBorder="1" applyAlignment="1">
      <alignment horizontal="center" vertical="center" wrapText="1"/>
    </xf>
    <xf numFmtId="165" fontId="13" fillId="21" borderId="35" xfId="0" applyNumberFormat="1" applyFont="1" applyFill="1" applyBorder="1" applyAlignment="1">
      <alignment horizontal="center" vertical="center"/>
    </xf>
    <xf numFmtId="165" fontId="54" fillId="24" borderId="35" xfId="0" applyNumberFormat="1" applyFont="1" applyFill="1" applyBorder="1" applyAlignment="1">
      <alignment horizontal="center" vertical="center" wrapText="1"/>
    </xf>
    <xf numFmtId="165" fontId="13" fillId="21" borderId="23" xfId="0" applyNumberFormat="1" applyFont="1" applyFill="1" applyBorder="1" applyAlignment="1">
      <alignment horizontal="center" vertical="center"/>
    </xf>
    <xf numFmtId="165" fontId="54" fillId="24" borderId="23" xfId="0" applyNumberFormat="1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/>
    </xf>
    <xf numFmtId="0" fontId="53" fillId="25" borderId="23" xfId="0" applyFont="1" applyFill="1" applyBorder="1" applyAlignment="1">
      <alignment horizontal="center" vertical="center" wrapText="1"/>
    </xf>
    <xf numFmtId="165" fontId="55" fillId="26" borderId="35" xfId="0" applyNumberFormat="1" applyFont="1" applyFill="1" applyBorder="1" applyAlignment="1">
      <alignment horizontal="center" vertical="center" wrapText="1"/>
    </xf>
    <xf numFmtId="165" fontId="55" fillId="26" borderId="23" xfId="0" applyNumberFormat="1" applyFont="1" applyFill="1" applyBorder="1" applyAlignment="1">
      <alignment horizontal="center" vertical="center" wrapText="1"/>
    </xf>
    <xf numFmtId="0" fontId="5" fillId="27" borderId="23" xfId="0" applyFont="1" applyFill="1" applyBorder="1" applyAlignment="1">
      <alignment horizontal="center" vertical="center"/>
    </xf>
    <xf numFmtId="0" fontId="53" fillId="28" borderId="23" xfId="0" applyFont="1" applyFill="1" applyBorder="1" applyAlignment="1">
      <alignment horizontal="center" vertical="center" wrapText="1"/>
    </xf>
    <xf numFmtId="165" fontId="55" fillId="29" borderId="35" xfId="0" applyNumberFormat="1" applyFont="1" applyFill="1" applyBorder="1" applyAlignment="1">
      <alignment horizontal="center" vertical="center" wrapText="1"/>
    </xf>
    <xf numFmtId="165" fontId="55" fillId="29" borderId="23" xfId="0" applyNumberFormat="1" applyFont="1" applyFill="1" applyBorder="1" applyAlignment="1">
      <alignment horizontal="center" vertical="center" wrapText="1"/>
    </xf>
    <xf numFmtId="165" fontId="55" fillId="30" borderId="35" xfId="0" applyNumberFormat="1" applyFont="1" applyFill="1" applyBorder="1" applyAlignment="1">
      <alignment horizontal="center" vertical="center" wrapText="1"/>
    </xf>
    <xf numFmtId="165" fontId="55" fillId="30" borderId="23" xfId="0" applyNumberFormat="1" applyFont="1" applyFill="1" applyBorder="1" applyAlignment="1">
      <alignment horizontal="center" vertical="center" wrapText="1"/>
    </xf>
    <xf numFmtId="165" fontId="49" fillId="30" borderId="36" xfId="0" applyNumberFormat="1" applyFont="1" applyFill="1" applyBorder="1" applyAlignment="1">
      <alignment horizontal="center" vertical="center" wrapText="1"/>
    </xf>
    <xf numFmtId="165" fontId="55" fillId="31" borderId="23" xfId="0" applyNumberFormat="1" applyFont="1" applyFill="1" applyBorder="1" applyAlignment="1">
      <alignment horizontal="center" vertical="center"/>
    </xf>
    <xf numFmtId="165" fontId="56" fillId="31" borderId="23" xfId="0" applyNumberFormat="1" applyFont="1" applyFill="1" applyBorder="1" applyAlignment="1">
      <alignment horizontal="center" vertical="center" wrapText="1"/>
    </xf>
    <xf numFmtId="165" fontId="57" fillId="21" borderId="23" xfId="0" applyNumberFormat="1" applyFont="1" applyFill="1" applyBorder="1" applyAlignment="1">
      <alignment horizontal="center" vertical="center" shrinkToFit="1"/>
    </xf>
    <xf numFmtId="0" fontId="58" fillId="0" borderId="37" xfId="0" applyFont="1" applyBorder="1" applyAlignment="1">
      <alignment horizontal="center" vertical="center" wrapText="1"/>
    </xf>
    <xf numFmtId="0" fontId="58" fillId="0" borderId="38" xfId="0" applyFont="1" applyBorder="1" applyAlignment="1">
      <alignment horizontal="center" vertical="center" wrapText="1"/>
    </xf>
    <xf numFmtId="0" fontId="48" fillId="0" borderId="38" xfId="0" applyFont="1" applyBorder="1" applyAlignment="1">
      <alignment vertical="center" wrapText="1"/>
    </xf>
    <xf numFmtId="0" fontId="58" fillId="0" borderId="39" xfId="0" applyFont="1" applyBorder="1" applyAlignment="1">
      <alignment horizontal="center" vertical="center" wrapText="1"/>
    </xf>
    <xf numFmtId="0" fontId="58" fillId="0" borderId="40" xfId="0" applyFont="1" applyBorder="1" applyAlignment="1">
      <alignment horizontal="center" vertical="center" wrapText="1"/>
    </xf>
    <xf numFmtId="0" fontId="48" fillId="0" borderId="40" xfId="0" applyFont="1" applyBorder="1" applyAlignment="1">
      <alignment vertical="center" wrapText="1"/>
    </xf>
    <xf numFmtId="0" fontId="59" fillId="0" borderId="39" xfId="0" applyFont="1" applyBorder="1" applyAlignment="1">
      <alignment horizontal="center" vertical="center" wrapText="1"/>
    </xf>
    <xf numFmtId="0" fontId="60" fillId="0" borderId="40" xfId="0" applyFont="1" applyBorder="1" applyAlignment="1">
      <alignment horizontal="center" vertical="center" wrapText="1"/>
    </xf>
    <xf numFmtId="0" fontId="59" fillId="0" borderId="40" xfId="0" applyFont="1" applyBorder="1" applyAlignment="1">
      <alignment horizontal="center" vertical="center" wrapText="1"/>
    </xf>
    <xf numFmtId="3" fontId="61" fillId="32" borderId="41" xfId="0" applyNumberFormat="1" applyFont="1" applyFill="1" applyBorder="1" applyAlignment="1">
      <alignment horizontal="center" vertical="center" wrapText="1"/>
    </xf>
    <xf numFmtId="3" fontId="61" fillId="32" borderId="42" xfId="0" applyNumberFormat="1" applyFont="1" applyFill="1" applyBorder="1" applyAlignment="1">
      <alignment horizontal="center" vertical="center" wrapText="1"/>
    </xf>
    <xf numFmtId="0" fontId="62" fillId="33" borderId="43" xfId="0" applyFont="1" applyFill="1" applyBorder="1" applyAlignment="1">
      <alignment horizontal="center" vertical="center" wrapText="1"/>
    </xf>
    <xf numFmtId="164" fontId="65" fillId="33" borderId="23" xfId="0" applyNumberFormat="1" applyFont="1" applyFill="1" applyBorder="1" applyAlignment="1">
      <alignment horizontal="center" vertical="center" wrapText="1"/>
    </xf>
    <xf numFmtId="0" fontId="64" fillId="0" borderId="23" xfId="0" applyFont="1" applyBorder="1"/>
    <xf numFmtId="0" fontId="32" fillId="17" borderId="16" xfId="0" applyFont="1" applyFill="1" applyBorder="1" applyAlignment="1" applyProtection="1">
      <alignment horizontal="center" vertical="center" wrapText="1"/>
      <protection locked="0"/>
    </xf>
    <xf numFmtId="0" fontId="33" fillId="17" borderId="5" xfId="0" applyFont="1" applyFill="1" applyBorder="1" applyAlignment="1" applyProtection="1">
      <alignment horizontal="left" vertical="center" wrapText="1"/>
      <protection locked="0"/>
    </xf>
    <xf numFmtId="0" fontId="33" fillId="17" borderId="6" xfId="0" applyFont="1" applyFill="1" applyBorder="1" applyAlignment="1" applyProtection="1">
      <alignment horizontal="left" vertical="center" wrapText="1"/>
      <protection locked="0"/>
    </xf>
    <xf numFmtId="0" fontId="33" fillId="17" borderId="7" xfId="0" applyFont="1" applyFill="1" applyBorder="1" applyAlignment="1" applyProtection="1">
      <alignment horizontal="left" vertical="center" wrapText="1"/>
      <protection locked="0"/>
    </xf>
    <xf numFmtId="0" fontId="32" fillId="17" borderId="21" xfId="0" applyFont="1" applyFill="1" applyBorder="1" applyAlignment="1" applyProtection="1">
      <alignment horizontal="left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4" fillId="5" borderId="3" xfId="0" applyFont="1" applyFill="1" applyBorder="1" applyAlignment="1" applyProtection="1">
      <alignment horizontal="center" vertical="center" wrapText="1"/>
      <protection locked="0"/>
    </xf>
    <xf numFmtId="0" fontId="34" fillId="7" borderId="15" xfId="0" applyFont="1" applyFill="1" applyBorder="1" applyAlignment="1" applyProtection="1">
      <alignment horizontal="left" vertical="center" wrapText="1"/>
      <protection locked="0"/>
    </xf>
    <xf numFmtId="0" fontId="34" fillId="7" borderId="0" xfId="0" applyFont="1" applyFill="1" applyAlignment="1" applyProtection="1">
      <alignment horizontal="left" vertical="center" wrapText="1"/>
      <protection locked="0"/>
    </xf>
    <xf numFmtId="0" fontId="1" fillId="3" borderId="17" xfId="0" applyFont="1" applyFill="1" applyBorder="1" applyAlignment="1" applyProtection="1">
      <alignment horizontal="center" vertical="center" wrapText="1"/>
      <protection locked="0"/>
    </xf>
    <xf numFmtId="0" fontId="1" fillId="3" borderId="18" xfId="0" applyFont="1" applyFill="1" applyBorder="1" applyAlignment="1" applyProtection="1">
      <alignment horizontal="center" vertical="center" wrapText="1"/>
      <protection locked="0"/>
    </xf>
    <xf numFmtId="0" fontId="63" fillId="34" borderId="23" xfId="0" applyFont="1" applyFill="1" applyBorder="1" applyAlignment="1">
      <alignment horizontal="center" vertical="center" wrapText="1"/>
    </xf>
    <xf numFmtId="0" fontId="65" fillId="3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 applyProtection="1">
      <alignment horizontal="center" vertical="center" wrapText="1"/>
      <protection locked="0"/>
    </xf>
    <xf numFmtId="0" fontId="1" fillId="3" borderId="25" xfId="0" applyFont="1" applyFill="1" applyBorder="1" applyAlignment="1" applyProtection="1">
      <alignment horizontal="center" vertical="center" wrapText="1"/>
      <protection locked="0"/>
    </xf>
    <xf numFmtId="0" fontId="1" fillId="2" borderId="25" xfId="0" applyFont="1" applyFill="1" applyBorder="1" applyAlignment="1" applyProtection="1">
      <alignment horizontal="center" vertical="center" wrapText="1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1" fillId="4" borderId="28" xfId="0" applyFont="1" applyFill="1" applyBorder="1" applyAlignment="1" applyProtection="1">
      <alignment horizontal="center" vertical="center" wrapText="1"/>
      <protection locked="0"/>
    </xf>
    <xf numFmtId="0" fontId="1" fillId="4" borderId="29" xfId="0" applyFont="1" applyFill="1" applyBorder="1" applyAlignment="1" applyProtection="1">
      <alignment horizontal="center" vertical="center" wrapText="1"/>
      <protection locked="0"/>
    </xf>
    <xf numFmtId="2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27" fillId="10" borderId="1" xfId="0" applyFont="1" applyFill="1" applyBorder="1" applyAlignment="1" applyProtection="1">
      <alignment horizontal="center" vertical="center" wrapText="1"/>
      <protection locked="0"/>
    </xf>
    <xf numFmtId="0" fontId="27" fillId="10" borderId="2" xfId="0" applyFont="1" applyFill="1" applyBorder="1" applyAlignment="1" applyProtection="1">
      <alignment horizontal="center" vertical="center" wrapText="1"/>
      <protection locked="0"/>
    </xf>
    <xf numFmtId="0" fontId="27" fillId="10" borderId="3" xfId="0" applyFont="1" applyFill="1" applyBorder="1" applyAlignment="1" applyProtection="1">
      <alignment horizontal="center" vertical="center" wrapText="1"/>
      <protection locked="0"/>
    </xf>
    <xf numFmtId="0" fontId="27" fillId="10" borderId="15" xfId="0" applyFont="1" applyFill="1" applyBorder="1" applyAlignment="1" applyProtection="1">
      <alignment horizontal="center" vertical="center" wrapText="1"/>
      <protection locked="0"/>
    </xf>
    <xf numFmtId="0" fontId="27" fillId="10" borderId="0" xfId="0" applyFont="1" applyFill="1" applyAlignment="1" applyProtection="1">
      <alignment horizontal="center" vertical="center" wrapText="1"/>
      <protection locked="0"/>
    </xf>
    <xf numFmtId="0" fontId="27" fillId="10" borderId="31" xfId="0" applyFont="1" applyFill="1" applyBorder="1" applyAlignment="1" applyProtection="1">
      <alignment horizontal="center" vertical="center" wrapText="1"/>
      <protection locked="0"/>
    </xf>
    <xf numFmtId="0" fontId="27" fillId="10" borderId="22" xfId="0" applyFont="1" applyFill="1" applyBorder="1" applyAlignment="1" applyProtection="1">
      <alignment horizontal="center" vertical="center" wrapText="1"/>
      <protection locked="0"/>
    </xf>
    <xf numFmtId="0" fontId="27" fillId="10" borderId="21" xfId="0" applyFont="1" applyFill="1" applyBorder="1" applyAlignment="1" applyProtection="1">
      <alignment horizontal="center" vertical="center" wrapText="1"/>
      <protection locked="0"/>
    </xf>
    <xf numFmtId="0" fontId="27" fillId="10" borderId="32" xfId="0" applyFont="1" applyFill="1" applyBorder="1" applyAlignment="1" applyProtection="1">
      <alignment horizontal="center" vertical="center" wrapText="1"/>
      <protection locked="0"/>
    </xf>
    <xf numFmtId="0" fontId="5" fillId="9" borderId="5" xfId="0" applyFont="1" applyFill="1" applyBorder="1" applyAlignment="1" applyProtection="1">
      <alignment horizontal="right" vertical="center" wrapText="1"/>
      <protection locked="0"/>
    </xf>
    <xf numFmtId="0" fontId="5" fillId="9" borderId="6" xfId="0" applyFont="1" applyFill="1" applyBorder="1" applyAlignment="1" applyProtection="1">
      <alignment horizontal="right" vertical="center" wrapText="1"/>
      <protection locked="0"/>
    </xf>
    <xf numFmtId="0" fontId="5" fillId="9" borderId="7" xfId="0" applyFont="1" applyFill="1" applyBorder="1" applyAlignment="1" applyProtection="1">
      <alignment horizontal="right" vertical="center" wrapText="1"/>
      <protection locked="0"/>
    </xf>
    <xf numFmtId="0" fontId="2" fillId="9" borderId="1" xfId="0" applyFont="1" applyFill="1" applyBorder="1" applyAlignment="1" applyProtection="1">
      <alignment horizontal="center" textRotation="90" wrapText="1"/>
      <protection locked="0"/>
    </xf>
    <xf numFmtId="0" fontId="2" fillId="9" borderId="15" xfId="0" applyFont="1" applyFill="1" applyBorder="1" applyAlignment="1" applyProtection="1">
      <alignment horizontal="center" textRotation="90" wrapText="1"/>
      <protection locked="0"/>
    </xf>
    <xf numFmtId="0" fontId="2" fillId="9" borderId="22" xfId="0" applyFont="1" applyFill="1" applyBorder="1" applyAlignment="1" applyProtection="1">
      <alignment horizontal="center" textRotation="90" wrapText="1"/>
      <protection locked="0"/>
    </xf>
    <xf numFmtId="0" fontId="1" fillId="4" borderId="16" xfId="0" applyFont="1" applyFill="1" applyBorder="1" applyAlignment="1" applyProtection="1">
      <alignment horizontal="right" vertical="center" textRotation="90" wrapText="1"/>
      <protection locked="0"/>
    </xf>
    <xf numFmtId="0" fontId="1" fillId="2" borderId="27" xfId="0" applyFont="1" applyFill="1" applyBorder="1" applyAlignment="1" applyProtection="1">
      <alignment horizontal="center" vertical="center" wrapText="1"/>
      <protection locked="0"/>
    </xf>
    <xf numFmtId="0" fontId="1" fillId="2" borderId="28" xfId="0" applyFont="1" applyFill="1" applyBorder="1" applyAlignment="1" applyProtection="1">
      <alignment horizontal="center" vertical="center" wrapText="1"/>
      <protection locked="0"/>
    </xf>
    <xf numFmtId="0" fontId="1" fillId="2" borderId="29" xfId="0" applyFont="1" applyFill="1" applyBorder="1" applyAlignment="1" applyProtection="1">
      <alignment horizontal="center" vertical="center" wrapText="1"/>
      <protection locked="0"/>
    </xf>
    <xf numFmtId="0" fontId="5" fillId="2" borderId="20" xfId="0" applyFont="1" applyFill="1" applyBorder="1" applyAlignment="1" applyProtection="1">
      <alignment horizontal="center" vertical="center" textRotation="90" wrapText="1"/>
      <protection locked="0"/>
    </xf>
    <xf numFmtId="0" fontId="5" fillId="2" borderId="8" xfId="0" applyFont="1" applyFill="1" applyBorder="1" applyAlignment="1" applyProtection="1">
      <alignment horizontal="center" vertical="center" textRotation="90" wrapText="1"/>
      <protection locked="0"/>
    </xf>
    <xf numFmtId="0" fontId="1" fillId="2" borderId="20" xfId="0" applyFont="1" applyFill="1" applyBorder="1" applyAlignment="1" applyProtection="1">
      <alignment horizontal="center" vertical="center" textRotation="90" wrapText="1"/>
      <protection locked="0"/>
    </xf>
    <xf numFmtId="0" fontId="1" fillId="2" borderId="8" xfId="0" applyFont="1" applyFill="1" applyBorder="1" applyAlignment="1" applyProtection="1">
      <alignment horizontal="center" vertical="center" textRotation="90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26" fillId="2" borderId="30" xfId="0" applyFont="1" applyFill="1" applyBorder="1" applyAlignment="1" applyProtection="1">
      <alignment horizontal="center" vertical="center" wrapText="1"/>
      <protection locked="0"/>
    </xf>
    <xf numFmtId="0" fontId="26" fillId="2" borderId="21" xfId="0" applyFont="1" applyFill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right" vertical="center" wrapText="1"/>
      <protection locked="0"/>
    </xf>
    <xf numFmtId="0" fontId="0" fillId="0" borderId="7" xfId="0" applyBorder="1" applyAlignment="1" applyProtection="1">
      <alignment horizontal="right" vertical="center" wrapText="1"/>
      <protection locked="0"/>
    </xf>
    <xf numFmtId="0" fontId="35" fillId="9" borderId="1" xfId="0" applyFont="1" applyFill="1" applyBorder="1" applyAlignment="1" applyProtection="1">
      <alignment horizontal="left" wrapText="1"/>
      <protection locked="0"/>
    </xf>
    <xf numFmtId="0" fontId="35" fillId="9" borderId="2" xfId="0" applyFont="1" applyFill="1" applyBorder="1" applyAlignment="1" applyProtection="1">
      <alignment horizontal="left" wrapText="1"/>
      <protection locked="0"/>
    </xf>
    <xf numFmtId="0" fontId="39" fillId="18" borderId="0" xfId="0" applyFont="1" applyFill="1" applyAlignment="1" applyProtection="1">
      <alignment vertical="center" wrapText="1"/>
      <protection locked="0"/>
    </xf>
    <xf numFmtId="0" fontId="40" fillId="18" borderId="0" xfId="0" applyFont="1" applyFill="1" applyAlignment="1" applyProtection="1">
      <alignment vertical="center" wrapText="1"/>
      <protection locked="0"/>
    </xf>
    <xf numFmtId="0" fontId="41" fillId="0" borderId="34" xfId="0" applyFont="1" applyBorder="1" applyAlignment="1" applyProtection="1">
      <alignment vertical="center" wrapText="1"/>
      <protection locked="0"/>
    </xf>
    <xf numFmtId="0" fontId="36" fillId="20" borderId="0" xfId="0" applyFont="1" applyFill="1" applyAlignment="1" applyProtection="1">
      <alignment vertical="center" wrapText="1"/>
      <protection locked="0"/>
    </xf>
    <xf numFmtId="0" fontId="37" fillId="20" borderId="0" xfId="0" applyFont="1" applyFill="1" applyAlignment="1" applyProtection="1">
      <alignment vertical="center" wrapText="1"/>
      <protection locked="0"/>
    </xf>
    <xf numFmtId="0" fontId="38" fillId="20" borderId="34" xfId="0" applyFont="1" applyFill="1" applyBorder="1" applyAlignment="1" applyProtection="1">
      <alignment vertical="center" wrapText="1"/>
      <protection locked="0"/>
    </xf>
    <xf numFmtId="4" fontId="42" fillId="2" borderId="1" xfId="1" applyNumberFormat="1" applyFont="1" applyFill="1" applyBorder="1" applyAlignment="1" applyProtection="1">
      <alignment horizontal="center" vertical="center" wrapText="1" shrinkToFit="1"/>
      <protection locked="0"/>
    </xf>
    <xf numFmtId="4" fontId="42" fillId="2" borderId="2" xfId="1" applyNumberFormat="1" applyFont="1" applyFill="1" applyBorder="1" applyAlignment="1" applyProtection="1">
      <alignment horizontal="center" vertical="center" wrapText="1" shrinkToFit="1"/>
      <protection locked="0"/>
    </xf>
    <xf numFmtId="4" fontId="42" fillId="2" borderId="3" xfId="1" applyNumberFormat="1" applyFont="1" applyFill="1" applyBorder="1" applyAlignment="1" applyProtection="1">
      <alignment horizontal="center" vertical="center" wrapText="1" shrinkToFit="1"/>
      <protection locked="0"/>
    </xf>
    <xf numFmtId="4" fontId="42" fillId="2" borderId="15" xfId="1" applyNumberFormat="1" applyFont="1" applyFill="1" applyBorder="1" applyAlignment="1" applyProtection="1">
      <alignment horizontal="center" vertical="center" wrapText="1" shrinkToFit="1"/>
      <protection locked="0"/>
    </xf>
    <xf numFmtId="4" fontId="42" fillId="2" borderId="0" xfId="1" applyNumberFormat="1" applyFont="1" applyFill="1" applyAlignment="1" applyProtection="1">
      <alignment horizontal="center" vertical="center" wrapText="1" shrinkToFit="1"/>
      <protection locked="0"/>
    </xf>
    <xf numFmtId="4" fontId="42" fillId="2" borderId="31" xfId="1" applyNumberFormat="1" applyFont="1" applyFill="1" applyBorder="1" applyAlignment="1" applyProtection="1">
      <alignment horizontal="center" vertical="center" wrapText="1" shrinkToFit="1"/>
      <protection locked="0"/>
    </xf>
    <xf numFmtId="4" fontId="42" fillId="2" borderId="22" xfId="1" applyNumberFormat="1" applyFont="1" applyFill="1" applyBorder="1" applyAlignment="1" applyProtection="1">
      <alignment horizontal="center" vertical="center" wrapText="1" shrinkToFit="1"/>
      <protection locked="0"/>
    </xf>
    <xf numFmtId="4" fontId="42" fillId="2" borderId="21" xfId="1" applyNumberFormat="1" applyFont="1" applyFill="1" applyBorder="1" applyAlignment="1" applyProtection="1">
      <alignment horizontal="center" vertical="center" wrapText="1" shrinkToFit="1"/>
      <protection locked="0"/>
    </xf>
    <xf numFmtId="4" fontId="42" fillId="2" borderId="32" xfId="1" applyNumberFormat="1" applyFont="1" applyFill="1" applyBorder="1" applyAlignment="1" applyProtection="1">
      <alignment horizontal="center" vertical="center" wrapText="1" shrinkToFit="1"/>
      <protection locked="0"/>
    </xf>
    <xf numFmtId="2" fontId="16" fillId="8" borderId="15" xfId="0" applyNumberFormat="1" applyFont="1" applyFill="1" applyBorder="1" applyAlignment="1" applyProtection="1">
      <alignment horizontal="center" vertical="center" wrapText="1"/>
      <protection locked="0"/>
    </xf>
    <xf numFmtId="2" fontId="16" fillId="8" borderId="0" xfId="0" applyNumberFormat="1" applyFont="1" applyFill="1" applyAlignment="1" applyProtection="1">
      <alignment horizontal="center" vertical="center" wrapText="1"/>
      <protection locked="0"/>
    </xf>
    <xf numFmtId="0" fontId="45" fillId="0" borderId="0" xfId="0" applyFont="1" applyAlignment="1" applyProtection="1">
      <alignment horizontal="center" vertical="center" wrapText="1"/>
      <protection locked="0"/>
    </xf>
    <xf numFmtId="0" fontId="45" fillId="0" borderId="31" xfId="0" applyFont="1" applyBorder="1" applyAlignment="1" applyProtection="1">
      <alignment horizontal="center" vertical="center" wrapText="1"/>
      <protection locked="0"/>
    </xf>
    <xf numFmtId="0" fontId="45" fillId="0" borderId="21" xfId="0" applyFont="1" applyBorder="1" applyAlignment="1" applyProtection="1">
      <alignment horizontal="center" vertical="center" wrapText="1"/>
      <protection locked="0"/>
    </xf>
    <xf numFmtId="0" fontId="45" fillId="0" borderId="32" xfId="0" applyFont="1" applyBorder="1" applyAlignment="1" applyProtection="1">
      <alignment horizontal="center" vertical="center" wrapText="1"/>
      <protection locked="0"/>
    </xf>
    <xf numFmtId="2" fontId="3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3" fillId="8" borderId="16" xfId="0" applyFont="1" applyFill="1" applyBorder="1" applyAlignment="1" applyProtection="1">
      <alignment horizontal="left" vertical="center" wrapText="1"/>
      <protection locked="0"/>
    </xf>
    <xf numFmtId="0" fontId="5" fillId="8" borderId="5" xfId="0" applyFont="1" applyFill="1" applyBorder="1" applyAlignment="1" applyProtection="1">
      <alignment horizontal="right" vertical="center" wrapText="1"/>
      <protection locked="0"/>
    </xf>
    <xf numFmtId="0" fontId="5" fillId="8" borderId="6" xfId="0" applyFont="1" applyFill="1" applyBorder="1" applyAlignment="1" applyProtection="1">
      <alignment horizontal="right" vertical="center" wrapText="1"/>
      <protection locked="0"/>
    </xf>
    <xf numFmtId="0" fontId="5" fillId="8" borderId="7" xfId="0" applyFont="1" applyFill="1" applyBorder="1" applyAlignment="1" applyProtection="1">
      <alignment horizontal="right" vertical="center" wrapText="1"/>
      <protection locked="0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textRotation="90" wrapText="1"/>
    </xf>
    <xf numFmtId="0" fontId="5" fillId="2" borderId="8" xfId="0" applyFont="1" applyFill="1" applyBorder="1" applyAlignment="1">
      <alignment horizontal="center" vertical="center" textRotation="90" wrapText="1"/>
    </xf>
    <xf numFmtId="0" fontId="1" fillId="2" borderId="20" xfId="0" applyFont="1" applyFill="1" applyBorder="1" applyAlignment="1">
      <alignment horizontal="center" vertical="center" textRotation="90" wrapText="1"/>
    </xf>
    <xf numFmtId="0" fontId="1" fillId="2" borderId="8" xfId="0" applyFont="1" applyFill="1" applyBorder="1" applyAlignment="1">
      <alignment horizontal="center" vertical="center" textRotation="90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 applyProtection="1">
      <alignment horizontal="center" vertical="center" wrapText="1"/>
      <protection locked="0"/>
    </xf>
    <xf numFmtId="0" fontId="1" fillId="3" borderId="25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" fillId="2" borderId="26" xfId="0" applyFont="1" applyFill="1" applyBorder="1" applyAlignment="1" applyProtection="1">
      <alignment horizontal="center" vertical="center" wrapText="1"/>
      <protection locked="0"/>
    </xf>
    <xf numFmtId="0" fontId="16" fillId="0" borderId="16" xfId="0" applyFont="1" applyBorder="1" applyAlignment="1">
      <alignment horizontal="center" vertical="center" wrapText="1"/>
    </xf>
    <xf numFmtId="0" fontId="32" fillId="17" borderId="21" xfId="0" applyFont="1" applyFill="1" applyBorder="1" applyAlignment="1">
      <alignment horizontal="center" vertical="center" wrapText="1"/>
    </xf>
    <xf numFmtId="164" fontId="1" fillId="2" borderId="18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9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>
      <alignment horizontal="right" vertical="center" textRotation="90" wrapText="1"/>
    </xf>
    <xf numFmtId="0" fontId="5" fillId="8" borderId="5" xfId="0" applyFont="1" applyFill="1" applyBorder="1" applyAlignment="1">
      <alignment horizontal="right" vertical="center" wrapText="1"/>
    </xf>
    <xf numFmtId="0" fontId="5" fillId="8" borderId="6" xfId="0" applyFont="1" applyFill="1" applyBorder="1" applyAlignment="1">
      <alignment horizontal="right" vertical="center" wrapText="1"/>
    </xf>
    <xf numFmtId="0" fontId="5" fillId="8" borderId="7" xfId="0" applyFont="1" applyFill="1" applyBorder="1" applyAlignment="1">
      <alignment horizontal="right" vertical="center" wrapText="1"/>
    </xf>
    <xf numFmtId="0" fontId="13" fillId="8" borderId="16" xfId="0" applyFont="1" applyFill="1" applyBorder="1" applyAlignment="1">
      <alignment horizontal="left" vertical="center" wrapText="1"/>
    </xf>
    <xf numFmtId="0" fontId="5" fillId="9" borderId="5" xfId="0" applyFont="1" applyFill="1" applyBorder="1" applyAlignment="1">
      <alignment horizontal="right" vertical="center" wrapText="1"/>
    </xf>
    <xf numFmtId="0" fontId="5" fillId="9" borderId="6" xfId="0" applyFont="1" applyFill="1" applyBorder="1" applyAlignment="1">
      <alignment horizontal="right" vertical="center" wrapText="1"/>
    </xf>
    <xf numFmtId="0" fontId="5" fillId="9" borderId="7" xfId="0" applyFont="1" applyFill="1" applyBorder="1" applyAlignment="1">
      <alignment horizontal="right" vertical="center" wrapText="1"/>
    </xf>
    <xf numFmtId="0" fontId="26" fillId="2" borderId="30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textRotation="90" wrapText="1"/>
    </xf>
    <xf numFmtId="0" fontId="2" fillId="9" borderId="15" xfId="0" applyFont="1" applyFill="1" applyBorder="1" applyAlignment="1">
      <alignment horizontal="center" textRotation="90" wrapText="1"/>
    </xf>
    <xf numFmtId="0" fontId="2" fillId="9" borderId="22" xfId="0" applyFont="1" applyFill="1" applyBorder="1" applyAlignment="1">
      <alignment horizontal="center" textRotation="90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0" borderId="2" xfId="0" applyFont="1" applyFill="1" applyBorder="1" applyAlignment="1">
      <alignment horizontal="center" vertical="center" wrapText="1"/>
    </xf>
    <xf numFmtId="0" fontId="27" fillId="10" borderId="3" xfId="0" applyFont="1" applyFill="1" applyBorder="1" applyAlignment="1">
      <alignment horizontal="center" vertical="center" wrapText="1"/>
    </xf>
    <xf numFmtId="0" fontId="27" fillId="10" borderId="15" xfId="0" applyFont="1" applyFill="1" applyBorder="1" applyAlignment="1">
      <alignment horizontal="center" vertical="center" wrapText="1"/>
    </xf>
    <xf numFmtId="0" fontId="27" fillId="10" borderId="0" xfId="0" applyFont="1" applyFill="1" applyAlignment="1">
      <alignment horizontal="center" vertical="center" wrapText="1"/>
    </xf>
    <xf numFmtId="0" fontId="27" fillId="10" borderId="31" xfId="0" applyFont="1" applyFill="1" applyBorder="1" applyAlignment="1">
      <alignment horizontal="center" vertical="center" wrapText="1"/>
    </xf>
    <xf numFmtId="0" fontId="27" fillId="10" borderId="22" xfId="0" applyFont="1" applyFill="1" applyBorder="1" applyAlignment="1">
      <alignment horizontal="center" vertical="center" wrapText="1"/>
    </xf>
    <xf numFmtId="0" fontId="27" fillId="10" borderId="21" xfId="0" applyFont="1" applyFill="1" applyBorder="1" applyAlignment="1">
      <alignment horizontal="center" vertical="center" wrapText="1"/>
    </xf>
    <xf numFmtId="0" fontId="27" fillId="10" borderId="32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/>
    </xf>
    <xf numFmtId="0" fontId="29" fillId="5" borderId="6" xfId="0" applyFont="1" applyFill="1" applyBorder="1" applyAlignment="1">
      <alignment horizontal="center" vertical="center"/>
    </xf>
    <xf numFmtId="0" fontId="29" fillId="5" borderId="21" xfId="0" applyFont="1" applyFill="1" applyBorder="1" applyAlignment="1">
      <alignment horizontal="center" vertical="center"/>
    </xf>
    <xf numFmtId="0" fontId="29" fillId="5" borderId="32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164" fontId="5" fillId="3" borderId="23" xfId="0" applyNumberFormat="1" applyFont="1" applyFill="1" applyBorder="1" applyAlignment="1">
      <alignment horizontal="center" vertical="center"/>
    </xf>
    <xf numFmtId="0" fontId="30" fillId="0" borderId="23" xfId="0" applyFont="1" applyBorder="1" applyAlignment="1">
      <alignment horizontal="center"/>
    </xf>
    <xf numFmtId="0" fontId="15" fillId="12" borderId="0" xfId="0" applyFont="1" applyFill="1" applyAlignment="1">
      <alignment horizontal="center"/>
    </xf>
    <xf numFmtId="0" fontId="5" fillId="16" borderId="5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28" fillId="16" borderId="0" xfId="0" applyFont="1" applyFill="1" applyAlignment="1">
      <alignment horizontal="center"/>
    </xf>
    <xf numFmtId="0" fontId="31" fillId="17" borderId="21" xfId="0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5" borderId="31" xfId="0" applyFill="1" applyBorder="1" applyAlignment="1">
      <alignment horizontal="center"/>
    </xf>
    <xf numFmtId="0" fontId="5" fillId="3" borderId="1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CF321D"/>
      <color rgb="FFB5EBC7"/>
      <color rgb="FFFEB4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LLEGE\nba\ATTAINMENT%20FINA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3EE1A(Direct) (4)"/>
      <sheetName val="G 16-17"/>
      <sheetName val="F 16-17"/>
      <sheetName val="F 15-16"/>
      <sheetName val="G 15-16"/>
      <sheetName val="E 14-15"/>
      <sheetName val="G 14-15"/>
      <sheetName val="VII IT PT2015-16"/>
      <sheetName val="VII CS PRO 2015-16"/>
    </sheetNames>
    <sheetDataSet>
      <sheetData sheetId="0">
        <row r="1">
          <cell r="A1" t="str">
            <v>COMPUTER ENGINEERING</v>
          </cell>
        </row>
        <row r="2">
          <cell r="A2" t="str">
            <v>INFORMATION TECHNOLOGY</v>
          </cell>
        </row>
        <row r="3">
          <cell r="A3" t="str">
            <v>CIVIL ENGINEERING</v>
          </cell>
        </row>
        <row r="4">
          <cell r="A4" t="str">
            <v>MECHANICAL ENGINEERING</v>
          </cell>
        </row>
        <row r="5">
          <cell r="A5" t="str">
            <v>ELECTRONICS &amp; COMMUNICATION ENGINEERING</v>
          </cell>
        </row>
        <row r="6">
          <cell r="A6" t="str">
            <v>ELECTRONICS INSTRUMENTATION &amp; CONTROL</v>
          </cell>
        </row>
        <row r="7">
          <cell r="A7" t="str">
            <v>ELECTRICAL ENGINEERING</v>
          </cell>
        </row>
        <row r="8">
          <cell r="A8" t="str">
            <v>HUMANITIES &amp; SOCIAL SCIENCES</v>
          </cell>
        </row>
        <row r="9">
          <cell r="A9" t="str">
            <v>MBA</v>
          </cell>
        </row>
        <row r="10">
          <cell r="A10" t="str">
            <v>MCA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W151"/>
  <sheetViews>
    <sheetView tabSelected="1" zoomScale="112" zoomScaleNormal="112" zoomScaleSheetLayoutView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Y11" sqref="Y11:AE130"/>
    </sheetView>
  </sheetViews>
  <sheetFormatPr defaultColWidth="0" defaultRowHeight="23.25" zeroHeight="1"/>
  <cols>
    <col min="1" max="1" width="3.85546875" style="8" customWidth="1"/>
    <col min="2" max="2" width="9.5703125" style="8" bestFit="1" customWidth="1"/>
    <col min="3" max="3" width="26.28515625" style="8" customWidth="1"/>
    <col min="4" max="4" width="9.140625" style="8" customWidth="1"/>
    <col min="5" max="5" width="6.42578125" style="74" bestFit="1" customWidth="1"/>
    <col min="6" max="6" width="6.5703125" style="74" bestFit="1" customWidth="1"/>
    <col min="7" max="7" width="5.5703125" style="74" bestFit="1" customWidth="1"/>
    <col min="8" max="9" width="5.7109375" style="74" customWidth="1"/>
    <col min="10" max="10" width="7.42578125" style="74" customWidth="1"/>
    <col min="11" max="11" width="6.85546875" style="74" customWidth="1"/>
    <col min="12" max="12" width="7.28515625" style="74" customWidth="1"/>
    <col min="13" max="13" width="5.7109375" style="74" customWidth="1"/>
    <col min="14" max="14" width="7.42578125" style="74" customWidth="1"/>
    <col min="15" max="15" width="6.140625" style="74" customWidth="1"/>
    <col min="16" max="16" width="6.7109375" style="74" customWidth="1"/>
    <col min="17" max="17" width="6.140625" style="74" customWidth="1"/>
    <col min="18" max="18" width="6.5703125" style="74" customWidth="1"/>
    <col min="19" max="19" width="6.7109375" style="74" bestFit="1" customWidth="1"/>
    <col min="20" max="20" width="6.140625" style="17" customWidth="1"/>
    <col min="21" max="21" width="5.7109375" style="17" customWidth="1"/>
    <col min="22" max="22" width="6.140625" style="17" customWidth="1"/>
    <col min="23" max="23" width="6.28515625" style="17" customWidth="1"/>
    <col min="24" max="24" width="5.85546875" style="17" customWidth="1"/>
    <col min="25" max="25" width="7.85546875" style="17" customWidth="1"/>
    <col min="26" max="30" width="5.7109375" style="8" customWidth="1"/>
    <col min="31" max="31" width="9" style="8" customWidth="1"/>
    <col min="32" max="32" width="7.42578125" style="8" customWidth="1"/>
    <col min="33" max="33" width="7.85546875" style="8" hidden="1" customWidth="1"/>
    <col min="34" max="257" width="9.140625" style="8" hidden="1" customWidth="1"/>
    <col min="258" max="16384" width="0" style="8" hidden="1"/>
  </cols>
  <sheetData>
    <row r="1" spans="1:32" s="7" customFormat="1" ht="15" customHeight="1" thickTop="1" thickBot="1">
      <c r="A1" s="146" t="s">
        <v>14</v>
      </c>
      <c r="B1" s="146"/>
      <c r="C1" s="141">
        <v>70</v>
      </c>
      <c r="D1" s="75"/>
      <c r="E1" s="18">
        <v>3</v>
      </c>
      <c r="F1" s="19"/>
      <c r="G1" s="147" t="s">
        <v>57</v>
      </c>
      <c r="H1" s="148"/>
      <c r="I1" s="148"/>
      <c r="J1" s="148"/>
      <c r="K1" s="148"/>
      <c r="L1" s="148"/>
      <c r="M1" s="149"/>
      <c r="N1" s="143">
        <v>30</v>
      </c>
      <c r="O1" s="154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</row>
    <row r="2" spans="1:32" s="7" customFormat="1" ht="20.100000000000001" customHeight="1" thickTop="1" thickBot="1">
      <c r="A2" s="146"/>
      <c r="B2" s="146"/>
      <c r="C2" s="142">
        <v>60</v>
      </c>
      <c r="D2" s="75"/>
      <c r="E2" s="18">
        <v>2</v>
      </c>
      <c r="F2" s="20">
        <f>C1-C2</f>
        <v>10</v>
      </c>
      <c r="G2" s="147" t="s">
        <v>51</v>
      </c>
      <c r="H2" s="148"/>
      <c r="I2" s="148"/>
      <c r="J2" s="148"/>
      <c r="K2" s="148"/>
      <c r="L2" s="148"/>
      <c r="M2" s="149"/>
      <c r="N2" s="143">
        <v>50</v>
      </c>
      <c r="O2" s="154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</row>
    <row r="3" spans="1:32" s="7" customFormat="1" ht="19.5" thickTop="1" thickBot="1">
      <c r="A3" s="146"/>
      <c r="B3" s="146"/>
      <c r="C3" s="142">
        <v>50</v>
      </c>
      <c r="D3" s="75"/>
      <c r="E3" s="18">
        <v>1</v>
      </c>
      <c r="F3" s="20">
        <f>C2-C3</f>
        <v>10</v>
      </c>
      <c r="G3" s="150" t="s">
        <v>74</v>
      </c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</row>
    <row r="4" spans="1:32" thickTop="1" thickBot="1">
      <c r="A4" s="151" t="s">
        <v>46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3"/>
    </row>
    <row r="5" spans="1:32" ht="17.25" customHeight="1" thickTop="1" thickBot="1">
      <c r="A5" s="156" t="s">
        <v>0</v>
      </c>
      <c r="B5" s="157"/>
      <c r="C5" s="158" t="s">
        <v>236</v>
      </c>
      <c r="D5" s="145"/>
      <c r="E5" s="145"/>
      <c r="F5" s="145"/>
      <c r="G5" s="157" t="s">
        <v>37</v>
      </c>
      <c r="H5" s="157"/>
      <c r="I5" s="159" t="s">
        <v>237</v>
      </c>
      <c r="J5" s="145"/>
      <c r="K5" s="145"/>
      <c r="L5" s="145"/>
      <c r="M5" s="145"/>
      <c r="N5" s="157" t="s">
        <v>77</v>
      </c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44" t="s">
        <v>238</v>
      </c>
      <c r="AA5" s="145"/>
      <c r="AB5" s="145"/>
      <c r="AC5" s="145"/>
      <c r="AD5" s="145"/>
      <c r="AE5" s="145"/>
      <c r="AF5" s="9" t="s">
        <v>240</v>
      </c>
    </row>
    <row r="6" spans="1:32" ht="15.75" customHeight="1">
      <c r="A6" s="160" t="s">
        <v>75</v>
      </c>
      <c r="B6" s="161"/>
      <c r="C6" s="43" t="s">
        <v>76</v>
      </c>
      <c r="D6" s="43"/>
      <c r="E6" s="161" t="s">
        <v>2</v>
      </c>
      <c r="F6" s="161"/>
      <c r="G6" s="162" t="s">
        <v>240</v>
      </c>
      <c r="H6" s="162"/>
      <c r="I6" s="161" t="s">
        <v>33</v>
      </c>
      <c r="J6" s="161"/>
      <c r="K6" s="159">
        <v>1</v>
      </c>
      <c r="L6" s="145"/>
      <c r="M6" s="161" t="s">
        <v>78</v>
      </c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59" t="s">
        <v>239</v>
      </c>
      <c r="AA6" s="145"/>
      <c r="AB6" s="161" t="s">
        <v>3</v>
      </c>
      <c r="AC6" s="161"/>
      <c r="AD6" s="159" t="s">
        <v>241</v>
      </c>
      <c r="AE6" s="145"/>
      <c r="AF6" s="9" t="s">
        <v>42</v>
      </c>
    </row>
    <row r="7" spans="1:32" ht="20.45" customHeight="1">
      <c r="A7" s="76"/>
      <c r="B7" s="76"/>
      <c r="C7" s="76"/>
      <c r="D7" s="77"/>
      <c r="E7" s="163" t="s">
        <v>79</v>
      </c>
      <c r="F7" s="164"/>
      <c r="G7" s="164"/>
      <c r="H7" s="164"/>
      <c r="I7" s="165"/>
      <c r="J7" s="163" t="s">
        <v>80</v>
      </c>
      <c r="K7" s="164"/>
      <c r="L7" s="164"/>
      <c r="M7" s="164"/>
      <c r="N7" s="165"/>
      <c r="O7" s="163" t="s">
        <v>82</v>
      </c>
      <c r="P7" s="164"/>
      <c r="Q7" s="164"/>
      <c r="R7" s="164"/>
      <c r="S7" s="165"/>
      <c r="T7" s="163" t="s">
        <v>81</v>
      </c>
      <c r="U7" s="164"/>
      <c r="V7" s="164"/>
      <c r="W7" s="164"/>
      <c r="X7" s="165"/>
      <c r="Y7" s="76"/>
      <c r="Z7" s="163"/>
      <c r="AA7" s="164"/>
      <c r="AB7" s="164"/>
      <c r="AC7" s="164"/>
      <c r="AD7" s="164"/>
      <c r="AE7" s="165"/>
      <c r="AF7" s="9" t="s">
        <v>43</v>
      </c>
    </row>
    <row r="8" spans="1:32" ht="15.75" customHeight="1" thickBot="1">
      <c r="A8" s="187" t="s">
        <v>4</v>
      </c>
      <c r="B8" s="189" t="s">
        <v>83</v>
      </c>
      <c r="C8" s="191" t="s">
        <v>5</v>
      </c>
      <c r="D8" s="193" t="s">
        <v>49</v>
      </c>
      <c r="E8" s="184" t="s">
        <v>47</v>
      </c>
      <c r="F8" s="185"/>
      <c r="G8" s="185"/>
      <c r="H8" s="186"/>
      <c r="I8" s="48">
        <f>SUM(E10:I10)</f>
        <v>60</v>
      </c>
      <c r="J8" s="184" t="s">
        <v>47</v>
      </c>
      <c r="K8" s="185"/>
      <c r="L8" s="185"/>
      <c r="M8" s="186"/>
      <c r="N8" s="48">
        <f>SUM(J10:N10)</f>
        <v>40</v>
      </c>
      <c r="O8" s="184" t="s">
        <v>47</v>
      </c>
      <c r="P8" s="185"/>
      <c r="Q8" s="185"/>
      <c r="R8" s="186"/>
      <c r="S8" s="48">
        <f>SUM(O10:S10)</f>
        <v>0</v>
      </c>
      <c r="T8" s="184" t="s">
        <v>47</v>
      </c>
      <c r="U8" s="185"/>
      <c r="V8" s="185"/>
      <c r="W8" s="186"/>
      <c r="X8" s="48">
        <f>SUM(T10:X10)</f>
        <v>25</v>
      </c>
      <c r="Y8" s="78" t="s">
        <v>48</v>
      </c>
      <c r="Z8" s="78" t="s">
        <v>6</v>
      </c>
      <c r="AA8" s="78" t="s">
        <v>7</v>
      </c>
      <c r="AB8" s="78" t="s">
        <v>8</v>
      </c>
      <c r="AC8" s="78" t="s">
        <v>9</v>
      </c>
      <c r="AD8" s="78" t="s">
        <v>10</v>
      </c>
      <c r="AE8" s="78" t="s">
        <v>11</v>
      </c>
      <c r="AF8" s="9" t="s">
        <v>44</v>
      </c>
    </row>
    <row r="9" spans="1:32" ht="14.25" customHeight="1" thickTop="1" thickBot="1">
      <c r="A9" s="187"/>
      <c r="B9" s="189"/>
      <c r="C9" s="192"/>
      <c r="D9" s="194"/>
      <c r="E9" s="78" t="s">
        <v>6</v>
      </c>
      <c r="F9" s="78" t="s">
        <v>7</v>
      </c>
      <c r="G9" s="78" t="s">
        <v>8</v>
      </c>
      <c r="H9" s="78" t="s">
        <v>9</v>
      </c>
      <c r="I9" s="78" t="s">
        <v>10</v>
      </c>
      <c r="J9" s="78" t="s">
        <v>6</v>
      </c>
      <c r="K9" s="78" t="s">
        <v>7</v>
      </c>
      <c r="L9" s="78" t="s">
        <v>8</v>
      </c>
      <c r="M9" s="78" t="s">
        <v>9</v>
      </c>
      <c r="N9" s="78" t="s">
        <v>10</v>
      </c>
      <c r="O9" s="78" t="s">
        <v>6</v>
      </c>
      <c r="P9" s="78" t="s">
        <v>7</v>
      </c>
      <c r="Q9" s="78" t="s">
        <v>8</v>
      </c>
      <c r="R9" s="78" t="s">
        <v>9</v>
      </c>
      <c r="S9" s="78" t="s">
        <v>10</v>
      </c>
      <c r="T9" s="78" t="s">
        <v>6</v>
      </c>
      <c r="U9" s="78" t="s">
        <v>7</v>
      </c>
      <c r="V9" s="78" t="s">
        <v>8</v>
      </c>
      <c r="W9" s="78" t="s">
        <v>9</v>
      </c>
      <c r="X9" s="79" t="s">
        <v>10</v>
      </c>
      <c r="Y9" s="80" t="s">
        <v>12</v>
      </c>
      <c r="Z9" s="80" t="s">
        <v>12</v>
      </c>
      <c r="AA9" s="80" t="s">
        <v>12</v>
      </c>
      <c r="AB9" s="80" t="s">
        <v>12</v>
      </c>
      <c r="AC9" s="80" t="s">
        <v>12</v>
      </c>
      <c r="AD9" s="80" t="s">
        <v>12</v>
      </c>
      <c r="AE9" s="79" t="s">
        <v>12</v>
      </c>
    </row>
    <row r="10" spans="1:32" ht="23.1" customHeight="1" thickTop="1" thickBot="1">
      <c r="A10" s="188"/>
      <c r="B10" s="190"/>
      <c r="C10" s="10" t="s">
        <v>36</v>
      </c>
      <c r="D10" s="10" t="s">
        <v>50</v>
      </c>
      <c r="E10" s="118">
        <v>0</v>
      </c>
      <c r="F10" s="118">
        <v>5</v>
      </c>
      <c r="G10" s="118">
        <v>20</v>
      </c>
      <c r="H10" s="118">
        <v>35</v>
      </c>
      <c r="I10" s="119">
        <v>0</v>
      </c>
      <c r="J10" s="118">
        <v>5</v>
      </c>
      <c r="K10" s="118">
        <v>10</v>
      </c>
      <c r="L10" s="118">
        <v>15</v>
      </c>
      <c r="M10" s="118">
        <v>10</v>
      </c>
      <c r="N10" s="119">
        <v>0</v>
      </c>
      <c r="O10" s="112">
        <v>0</v>
      </c>
      <c r="P10" s="112">
        <v>0</v>
      </c>
      <c r="Q10" s="112">
        <v>0</v>
      </c>
      <c r="R10" s="112">
        <v>0</v>
      </c>
      <c r="S10" s="113">
        <v>0</v>
      </c>
      <c r="T10" s="122">
        <v>25</v>
      </c>
      <c r="U10" s="122">
        <v>0</v>
      </c>
      <c r="V10" s="122">
        <v>0</v>
      </c>
      <c r="W10" s="122">
        <v>0</v>
      </c>
      <c r="X10" s="123">
        <v>0</v>
      </c>
      <c r="Y10" s="49">
        <f>100 * SUM(E10:X10) / SUM(I$8, N$8, S$8, X$8)</f>
        <v>100</v>
      </c>
      <c r="Z10" s="6">
        <f>IF((E10+J10+O10+T10)&gt;0,100,"")</f>
        <v>100</v>
      </c>
      <c r="AA10" s="6">
        <f t="shared" ref="AA10:AD10" si="0">IF((F10+K10+P10+U10)&gt;0,100,"")</f>
        <v>100</v>
      </c>
      <c r="AB10" s="6">
        <f>IF((G10+L10+Q10+V10)&gt;0,100,"")</f>
        <v>100</v>
      </c>
      <c r="AC10" s="6">
        <f t="shared" si="0"/>
        <v>100</v>
      </c>
      <c r="AD10" s="6" t="str">
        <f t="shared" si="0"/>
        <v/>
      </c>
      <c r="AE10" s="21">
        <f>IFERROR(AVERAGE(Z10:AD10),"")</f>
        <v>100</v>
      </c>
    </row>
    <row r="11" spans="1:32" ht="15" customHeight="1" thickTop="1">
      <c r="A11" s="107">
        <v>1</v>
      </c>
      <c r="B11" s="108" t="s">
        <v>92</v>
      </c>
      <c r="C11" s="109" t="s">
        <v>93</v>
      </c>
      <c r="D11" s="53"/>
      <c r="E11" s="126">
        <v>0</v>
      </c>
      <c r="F11" s="126">
        <v>5</v>
      </c>
      <c r="G11" s="126">
        <v>11</v>
      </c>
      <c r="H11" s="126">
        <v>16</v>
      </c>
      <c r="I11" s="126">
        <v>0</v>
      </c>
      <c r="J11" s="114">
        <v>3.5</v>
      </c>
      <c r="K11" s="114">
        <v>8.5</v>
      </c>
      <c r="L11" s="114">
        <v>8</v>
      </c>
      <c r="M11" s="114">
        <v>4</v>
      </c>
      <c r="N11" s="120">
        <v>0</v>
      </c>
      <c r="O11" s="114">
        <v>0</v>
      </c>
      <c r="P11" s="114">
        <v>0</v>
      </c>
      <c r="Q11" s="114">
        <v>0</v>
      </c>
      <c r="R11" s="114">
        <v>0</v>
      </c>
      <c r="S11" s="115">
        <v>0</v>
      </c>
      <c r="T11" s="114">
        <v>22</v>
      </c>
      <c r="U11" s="114">
        <v>0</v>
      </c>
      <c r="V11" s="114">
        <v>0</v>
      </c>
      <c r="W11" s="114">
        <v>0</v>
      </c>
      <c r="X11" s="124">
        <v>0</v>
      </c>
      <c r="Y11" s="205">
        <f>IF(OR( $B17="", $B17="AB", $B17="UR", $C17="", $C17="AB", $C17="UR", $D17="AB", $D17="UR"),"",(IF(OR(I$8&gt;0,N$8&gt;0,S$8&gt;0,X$8&gt;0),(100*SUM(E17:X17)/(I$8+N$8+S$8+X$8))," ")))</f>
        <v>57.2</v>
      </c>
      <c r="Z11" s="206"/>
      <c r="AA11" s="206"/>
      <c r="AB11" s="206"/>
      <c r="AC11" s="206"/>
      <c r="AD11" s="206"/>
      <c r="AE11" s="207"/>
    </row>
    <row r="12" spans="1:32" ht="15" customHeight="1">
      <c r="A12" s="110">
        <v>2</v>
      </c>
      <c r="B12" s="111" t="s">
        <v>94</v>
      </c>
      <c r="C12" s="109" t="s">
        <v>95</v>
      </c>
      <c r="D12" s="51"/>
      <c r="E12" s="127">
        <v>0</v>
      </c>
      <c r="F12" s="127">
        <v>0</v>
      </c>
      <c r="G12" s="127">
        <v>11</v>
      </c>
      <c r="H12" s="127">
        <v>8</v>
      </c>
      <c r="I12" s="127">
        <v>0</v>
      </c>
      <c r="J12" s="116">
        <v>3</v>
      </c>
      <c r="K12" s="116">
        <v>5.5</v>
      </c>
      <c r="L12" s="116">
        <v>4</v>
      </c>
      <c r="M12" s="116">
        <v>2</v>
      </c>
      <c r="N12" s="121">
        <v>0</v>
      </c>
      <c r="O12" s="116">
        <v>0</v>
      </c>
      <c r="P12" s="116">
        <v>0</v>
      </c>
      <c r="Q12" s="116">
        <v>0</v>
      </c>
      <c r="R12" s="116">
        <v>0</v>
      </c>
      <c r="S12" s="117">
        <v>0</v>
      </c>
      <c r="T12" s="116">
        <v>20</v>
      </c>
      <c r="U12" s="116">
        <v>0</v>
      </c>
      <c r="V12" s="116">
        <v>0</v>
      </c>
      <c r="W12" s="116">
        <v>0</v>
      </c>
      <c r="X12" s="125">
        <v>0</v>
      </c>
      <c r="Y12" s="208"/>
      <c r="Z12" s="209"/>
      <c r="AA12" s="209"/>
      <c r="AB12" s="209"/>
      <c r="AC12" s="209"/>
      <c r="AD12" s="209"/>
      <c r="AE12" s="210"/>
    </row>
    <row r="13" spans="1:32" ht="15" customHeight="1">
      <c r="A13" s="110">
        <v>3</v>
      </c>
      <c r="B13" s="111" t="s">
        <v>96</v>
      </c>
      <c r="C13" s="109" t="s">
        <v>97</v>
      </c>
      <c r="D13" s="51"/>
      <c r="E13" s="127">
        <v>0</v>
      </c>
      <c r="F13" s="127">
        <v>0</v>
      </c>
      <c r="G13" s="127">
        <v>12</v>
      </c>
      <c r="H13" s="127">
        <v>22</v>
      </c>
      <c r="I13" s="127">
        <v>0</v>
      </c>
      <c r="J13" s="116">
        <v>2</v>
      </c>
      <c r="K13" s="116">
        <v>10</v>
      </c>
      <c r="L13" s="116">
        <v>7</v>
      </c>
      <c r="M13" s="116">
        <v>6</v>
      </c>
      <c r="N13" s="121">
        <v>0</v>
      </c>
      <c r="O13" s="116">
        <v>0</v>
      </c>
      <c r="P13" s="116">
        <v>0</v>
      </c>
      <c r="Q13" s="116">
        <v>0</v>
      </c>
      <c r="R13" s="116">
        <v>0</v>
      </c>
      <c r="S13" s="117">
        <v>0</v>
      </c>
      <c r="T13" s="116">
        <v>21</v>
      </c>
      <c r="U13" s="116">
        <v>0</v>
      </c>
      <c r="V13" s="116">
        <v>0</v>
      </c>
      <c r="W13" s="114">
        <v>0</v>
      </c>
      <c r="X13" s="125">
        <v>0</v>
      </c>
      <c r="Y13" s="208"/>
      <c r="Z13" s="209"/>
      <c r="AA13" s="209"/>
      <c r="AB13" s="209"/>
      <c r="AC13" s="209"/>
      <c r="AD13" s="209"/>
      <c r="AE13" s="210"/>
    </row>
    <row r="14" spans="1:32" ht="15" customHeight="1">
      <c r="A14" s="110">
        <v>4</v>
      </c>
      <c r="B14" s="111" t="s">
        <v>98</v>
      </c>
      <c r="C14" s="109" t="s">
        <v>99</v>
      </c>
      <c r="D14" s="51"/>
      <c r="E14" s="127">
        <v>0</v>
      </c>
      <c r="F14" s="127">
        <v>0</v>
      </c>
      <c r="G14" s="127">
        <v>12</v>
      </c>
      <c r="H14" s="127">
        <v>11</v>
      </c>
      <c r="I14" s="127">
        <v>0</v>
      </c>
      <c r="J14" s="116">
        <v>4</v>
      </c>
      <c r="K14" s="116">
        <v>10</v>
      </c>
      <c r="L14" s="116">
        <v>8</v>
      </c>
      <c r="M14" s="116">
        <v>5.5</v>
      </c>
      <c r="N14" s="121">
        <v>0</v>
      </c>
      <c r="O14" s="116">
        <v>0</v>
      </c>
      <c r="P14" s="116">
        <v>0</v>
      </c>
      <c r="Q14" s="116">
        <v>0</v>
      </c>
      <c r="R14" s="116">
        <v>0</v>
      </c>
      <c r="S14" s="117">
        <v>0</v>
      </c>
      <c r="T14" s="116">
        <v>20</v>
      </c>
      <c r="U14" s="116">
        <v>0</v>
      </c>
      <c r="V14" s="116">
        <v>0</v>
      </c>
      <c r="W14" s="116">
        <v>0</v>
      </c>
      <c r="X14" s="125">
        <v>0</v>
      </c>
      <c r="Y14" s="208"/>
      <c r="Z14" s="209"/>
      <c r="AA14" s="209"/>
      <c r="AB14" s="209"/>
      <c r="AC14" s="209"/>
      <c r="AD14" s="209"/>
      <c r="AE14" s="210"/>
    </row>
    <row r="15" spans="1:32" ht="15" customHeight="1">
      <c r="A15" s="110">
        <v>5</v>
      </c>
      <c r="B15" s="111" t="s">
        <v>100</v>
      </c>
      <c r="C15" s="109" t="s">
        <v>101</v>
      </c>
      <c r="D15" s="51"/>
      <c r="E15" s="127">
        <v>0</v>
      </c>
      <c r="F15" s="127">
        <v>5</v>
      </c>
      <c r="G15" s="127">
        <v>12</v>
      </c>
      <c r="H15" s="127">
        <v>27.5</v>
      </c>
      <c r="I15" s="127">
        <v>0</v>
      </c>
      <c r="J15" s="116">
        <v>3.5</v>
      </c>
      <c r="K15" s="116">
        <v>10</v>
      </c>
      <c r="L15" s="116">
        <v>7</v>
      </c>
      <c r="M15" s="116">
        <v>5.5</v>
      </c>
      <c r="N15" s="121">
        <v>0</v>
      </c>
      <c r="O15" s="116">
        <v>0</v>
      </c>
      <c r="P15" s="116">
        <v>0</v>
      </c>
      <c r="Q15" s="116">
        <v>0</v>
      </c>
      <c r="R15" s="116">
        <v>0</v>
      </c>
      <c r="S15" s="117">
        <v>0</v>
      </c>
      <c r="T15" s="116">
        <v>23</v>
      </c>
      <c r="U15" s="116">
        <v>0</v>
      </c>
      <c r="V15" s="116">
        <v>0</v>
      </c>
      <c r="W15" s="114">
        <v>0</v>
      </c>
      <c r="X15" s="125">
        <v>0</v>
      </c>
      <c r="Y15" s="208"/>
      <c r="Z15" s="209"/>
      <c r="AA15" s="209"/>
      <c r="AB15" s="209"/>
      <c r="AC15" s="209"/>
      <c r="AD15" s="209"/>
      <c r="AE15" s="210"/>
    </row>
    <row r="16" spans="1:32" ht="15" customHeight="1">
      <c r="A16" s="110">
        <v>6</v>
      </c>
      <c r="B16" s="111" t="s">
        <v>102</v>
      </c>
      <c r="C16" s="109" t="s">
        <v>103</v>
      </c>
      <c r="D16" s="51"/>
      <c r="E16" s="127">
        <v>0</v>
      </c>
      <c r="F16" s="127">
        <v>5</v>
      </c>
      <c r="G16" s="127">
        <v>13</v>
      </c>
      <c r="H16" s="127">
        <v>4</v>
      </c>
      <c r="I16" s="127">
        <v>0</v>
      </c>
      <c r="J16" s="116">
        <v>0</v>
      </c>
      <c r="K16" s="116">
        <v>5.5</v>
      </c>
      <c r="L16" s="116">
        <v>6</v>
      </c>
      <c r="M16" s="116">
        <v>3</v>
      </c>
      <c r="N16" s="121">
        <v>0</v>
      </c>
      <c r="O16" s="116">
        <v>0</v>
      </c>
      <c r="P16" s="116">
        <v>0</v>
      </c>
      <c r="Q16" s="116">
        <v>0</v>
      </c>
      <c r="R16" s="116">
        <v>0</v>
      </c>
      <c r="S16" s="117">
        <v>0</v>
      </c>
      <c r="T16" s="116">
        <v>19</v>
      </c>
      <c r="U16" s="116">
        <v>0</v>
      </c>
      <c r="V16" s="116">
        <v>0</v>
      </c>
      <c r="W16" s="116">
        <v>0</v>
      </c>
      <c r="X16" s="125">
        <v>0</v>
      </c>
      <c r="Y16" s="208"/>
      <c r="Z16" s="209"/>
      <c r="AA16" s="209"/>
      <c r="AB16" s="209"/>
      <c r="AC16" s="209"/>
      <c r="AD16" s="209"/>
      <c r="AE16" s="210"/>
    </row>
    <row r="17" spans="1:31" ht="15" customHeight="1">
      <c r="A17" s="110">
        <v>7</v>
      </c>
      <c r="B17" s="111" t="s">
        <v>104</v>
      </c>
      <c r="C17" s="109" t="s">
        <v>105</v>
      </c>
      <c r="D17" s="51"/>
      <c r="E17" s="127">
        <v>0</v>
      </c>
      <c r="F17" s="127">
        <v>2</v>
      </c>
      <c r="G17" s="127">
        <v>13</v>
      </c>
      <c r="H17" s="127">
        <v>9</v>
      </c>
      <c r="I17" s="127">
        <v>0</v>
      </c>
      <c r="J17" s="116">
        <v>4</v>
      </c>
      <c r="K17" s="116">
        <v>10</v>
      </c>
      <c r="L17" s="116">
        <v>6</v>
      </c>
      <c r="M17" s="116">
        <v>4.5</v>
      </c>
      <c r="N17" s="121">
        <v>0</v>
      </c>
      <c r="O17" s="116">
        <v>0</v>
      </c>
      <c r="P17" s="116">
        <v>0</v>
      </c>
      <c r="Q17" s="116">
        <v>0</v>
      </c>
      <c r="R17" s="116">
        <v>0</v>
      </c>
      <c r="S17" s="117">
        <v>0</v>
      </c>
      <c r="T17" s="116">
        <v>23</v>
      </c>
      <c r="U17" s="116">
        <v>0</v>
      </c>
      <c r="V17" s="116">
        <v>0</v>
      </c>
      <c r="W17" s="114">
        <v>0</v>
      </c>
      <c r="X17" s="125">
        <v>0</v>
      </c>
      <c r="Y17" s="208"/>
      <c r="Z17" s="209"/>
      <c r="AA17" s="209"/>
      <c r="AB17" s="209"/>
      <c r="AC17" s="209"/>
      <c r="AD17" s="209"/>
      <c r="AE17" s="210"/>
    </row>
    <row r="18" spans="1:31" ht="15" customHeight="1">
      <c r="A18" s="110">
        <v>8</v>
      </c>
      <c r="B18" s="111" t="s">
        <v>106</v>
      </c>
      <c r="C18" s="109" t="s">
        <v>107</v>
      </c>
      <c r="D18" s="51"/>
      <c r="E18" s="127">
        <v>0</v>
      </c>
      <c r="F18" s="127">
        <v>0</v>
      </c>
      <c r="G18" s="127">
        <v>13</v>
      </c>
      <c r="H18" s="127">
        <v>4</v>
      </c>
      <c r="I18" s="127">
        <v>0</v>
      </c>
      <c r="J18" s="116">
        <v>2</v>
      </c>
      <c r="K18" s="116">
        <v>10</v>
      </c>
      <c r="L18" s="116">
        <v>7</v>
      </c>
      <c r="M18" s="116">
        <v>4.5</v>
      </c>
      <c r="N18" s="121">
        <v>0</v>
      </c>
      <c r="O18" s="116">
        <v>0</v>
      </c>
      <c r="P18" s="116">
        <v>0</v>
      </c>
      <c r="Q18" s="116">
        <v>0</v>
      </c>
      <c r="R18" s="116">
        <v>0</v>
      </c>
      <c r="S18" s="117">
        <v>0</v>
      </c>
      <c r="T18" s="116">
        <v>21</v>
      </c>
      <c r="U18" s="116">
        <v>0</v>
      </c>
      <c r="V18" s="116">
        <v>0</v>
      </c>
      <c r="W18" s="116">
        <v>0</v>
      </c>
      <c r="X18" s="125">
        <v>0</v>
      </c>
      <c r="Y18" s="208"/>
      <c r="Z18" s="209"/>
      <c r="AA18" s="209"/>
      <c r="AB18" s="209"/>
      <c r="AC18" s="209"/>
      <c r="AD18" s="209"/>
      <c r="AE18" s="210"/>
    </row>
    <row r="19" spans="1:31" ht="15" customHeight="1">
      <c r="A19" s="110">
        <v>9</v>
      </c>
      <c r="B19" s="111" t="s">
        <v>108</v>
      </c>
      <c r="C19" s="109" t="s">
        <v>109</v>
      </c>
      <c r="D19" s="51"/>
      <c r="E19" s="127">
        <v>0</v>
      </c>
      <c r="F19" s="127">
        <v>1</v>
      </c>
      <c r="G19" s="127">
        <v>14</v>
      </c>
      <c r="H19" s="127">
        <v>24</v>
      </c>
      <c r="I19" s="127">
        <v>0</v>
      </c>
      <c r="J19" s="116">
        <v>1</v>
      </c>
      <c r="K19" s="116">
        <v>9</v>
      </c>
      <c r="L19" s="116">
        <v>10</v>
      </c>
      <c r="M19" s="116">
        <v>8</v>
      </c>
      <c r="N19" s="121">
        <v>0</v>
      </c>
      <c r="O19" s="116">
        <v>0</v>
      </c>
      <c r="P19" s="116">
        <v>0</v>
      </c>
      <c r="Q19" s="116">
        <v>0</v>
      </c>
      <c r="R19" s="116">
        <v>0</v>
      </c>
      <c r="S19" s="117">
        <v>0</v>
      </c>
      <c r="T19" s="116">
        <v>20</v>
      </c>
      <c r="U19" s="116">
        <v>0</v>
      </c>
      <c r="V19" s="116">
        <v>0</v>
      </c>
      <c r="W19" s="114">
        <v>0</v>
      </c>
      <c r="X19" s="125">
        <v>0</v>
      </c>
      <c r="Y19" s="208"/>
      <c r="Z19" s="209"/>
      <c r="AA19" s="209"/>
      <c r="AB19" s="209"/>
      <c r="AC19" s="209"/>
      <c r="AD19" s="209"/>
      <c r="AE19" s="210"/>
    </row>
    <row r="20" spans="1:31" ht="15" customHeight="1">
      <c r="A20" s="110">
        <v>10</v>
      </c>
      <c r="B20" s="111" t="s">
        <v>110</v>
      </c>
      <c r="C20" s="109" t="s">
        <v>111</v>
      </c>
      <c r="D20" s="51"/>
      <c r="E20" s="127">
        <v>0</v>
      </c>
      <c r="F20" s="127">
        <v>1</v>
      </c>
      <c r="G20" s="127">
        <v>11</v>
      </c>
      <c r="H20" s="127">
        <v>22</v>
      </c>
      <c r="I20" s="127">
        <v>0</v>
      </c>
      <c r="J20" s="116">
        <v>1</v>
      </c>
      <c r="K20" s="116">
        <v>5.5</v>
      </c>
      <c r="L20" s="116">
        <v>7</v>
      </c>
      <c r="M20" s="116">
        <v>3</v>
      </c>
      <c r="N20" s="121">
        <v>0</v>
      </c>
      <c r="O20" s="116">
        <v>0</v>
      </c>
      <c r="P20" s="116">
        <v>0</v>
      </c>
      <c r="Q20" s="116">
        <v>0</v>
      </c>
      <c r="R20" s="116">
        <v>0</v>
      </c>
      <c r="S20" s="117">
        <v>0</v>
      </c>
      <c r="T20" s="116">
        <v>20</v>
      </c>
      <c r="U20" s="116">
        <v>0</v>
      </c>
      <c r="V20" s="116">
        <v>0</v>
      </c>
      <c r="W20" s="116">
        <v>0</v>
      </c>
      <c r="X20" s="125">
        <v>0</v>
      </c>
      <c r="Y20" s="208"/>
      <c r="Z20" s="209"/>
      <c r="AA20" s="209"/>
      <c r="AB20" s="209"/>
      <c r="AC20" s="209"/>
      <c r="AD20" s="209"/>
      <c r="AE20" s="210"/>
    </row>
    <row r="21" spans="1:31" ht="15" customHeight="1">
      <c r="A21" s="110">
        <v>11</v>
      </c>
      <c r="B21" s="111" t="s">
        <v>112</v>
      </c>
      <c r="C21" s="109" t="s">
        <v>113</v>
      </c>
      <c r="D21" s="51"/>
      <c r="E21" s="127">
        <v>0</v>
      </c>
      <c r="F21" s="127">
        <v>0.5</v>
      </c>
      <c r="G21" s="127">
        <v>10</v>
      </c>
      <c r="H21" s="127">
        <v>10</v>
      </c>
      <c r="I21" s="127">
        <v>0</v>
      </c>
      <c r="J21" s="116">
        <v>3</v>
      </c>
      <c r="K21" s="116">
        <v>9.5</v>
      </c>
      <c r="L21" s="116">
        <v>6</v>
      </c>
      <c r="M21" s="116">
        <v>4.5</v>
      </c>
      <c r="N21" s="121">
        <v>0</v>
      </c>
      <c r="O21" s="116">
        <v>0</v>
      </c>
      <c r="P21" s="116">
        <v>0</v>
      </c>
      <c r="Q21" s="116">
        <v>0</v>
      </c>
      <c r="R21" s="116">
        <v>0</v>
      </c>
      <c r="S21" s="117">
        <v>0</v>
      </c>
      <c r="T21" s="116">
        <v>18</v>
      </c>
      <c r="U21" s="116">
        <v>0</v>
      </c>
      <c r="V21" s="116">
        <v>0</v>
      </c>
      <c r="W21" s="114">
        <v>0</v>
      </c>
      <c r="X21" s="125">
        <v>0</v>
      </c>
      <c r="Y21" s="208"/>
      <c r="Z21" s="209"/>
      <c r="AA21" s="209"/>
      <c r="AB21" s="209"/>
      <c r="AC21" s="209"/>
      <c r="AD21" s="209"/>
      <c r="AE21" s="210"/>
    </row>
    <row r="22" spans="1:31" ht="15" customHeight="1">
      <c r="A22" s="110">
        <v>12</v>
      </c>
      <c r="B22" s="111" t="s">
        <v>114</v>
      </c>
      <c r="C22" s="109" t="s">
        <v>115</v>
      </c>
      <c r="D22" s="51"/>
      <c r="E22" s="127">
        <v>0</v>
      </c>
      <c r="F22" s="127">
        <v>0</v>
      </c>
      <c r="G22" s="127">
        <v>4</v>
      </c>
      <c r="H22" s="127">
        <v>3</v>
      </c>
      <c r="I22" s="127">
        <v>0</v>
      </c>
      <c r="J22" s="116">
        <v>0</v>
      </c>
      <c r="K22" s="116">
        <v>10</v>
      </c>
      <c r="L22" s="116">
        <v>6</v>
      </c>
      <c r="M22" s="116">
        <v>5</v>
      </c>
      <c r="N22" s="121">
        <v>0</v>
      </c>
      <c r="O22" s="116">
        <v>0</v>
      </c>
      <c r="P22" s="116">
        <v>0</v>
      </c>
      <c r="Q22" s="116">
        <v>0</v>
      </c>
      <c r="R22" s="116">
        <v>0</v>
      </c>
      <c r="S22" s="117">
        <v>0</v>
      </c>
      <c r="T22" s="116">
        <v>20</v>
      </c>
      <c r="U22" s="116">
        <v>0</v>
      </c>
      <c r="V22" s="116">
        <v>0</v>
      </c>
      <c r="W22" s="116">
        <v>0</v>
      </c>
      <c r="X22" s="125">
        <v>0</v>
      </c>
      <c r="Y22" s="208"/>
      <c r="Z22" s="209"/>
      <c r="AA22" s="209"/>
      <c r="AB22" s="209"/>
      <c r="AC22" s="209"/>
      <c r="AD22" s="209"/>
      <c r="AE22" s="210"/>
    </row>
    <row r="23" spans="1:31" ht="15" customHeight="1">
      <c r="A23" s="110">
        <v>13</v>
      </c>
      <c r="B23" s="111" t="s">
        <v>116</v>
      </c>
      <c r="C23" s="109" t="s">
        <v>117</v>
      </c>
      <c r="D23" s="51"/>
      <c r="E23" s="127">
        <v>0</v>
      </c>
      <c r="F23" s="127">
        <v>0</v>
      </c>
      <c r="G23" s="127">
        <v>9</v>
      </c>
      <c r="H23" s="127">
        <v>2</v>
      </c>
      <c r="I23" s="127">
        <v>0</v>
      </c>
      <c r="J23" s="116">
        <v>2.5</v>
      </c>
      <c r="K23" s="116">
        <v>10</v>
      </c>
      <c r="L23" s="116">
        <v>6</v>
      </c>
      <c r="M23" s="116">
        <v>0.5</v>
      </c>
      <c r="N23" s="121">
        <v>0</v>
      </c>
      <c r="O23" s="116">
        <v>0</v>
      </c>
      <c r="P23" s="116">
        <v>0</v>
      </c>
      <c r="Q23" s="116">
        <v>0</v>
      </c>
      <c r="R23" s="116">
        <v>0</v>
      </c>
      <c r="S23" s="117">
        <v>0</v>
      </c>
      <c r="T23" s="116">
        <v>20</v>
      </c>
      <c r="U23" s="116">
        <v>0</v>
      </c>
      <c r="V23" s="116">
        <v>0</v>
      </c>
      <c r="W23" s="114">
        <v>0</v>
      </c>
      <c r="X23" s="125">
        <v>0</v>
      </c>
      <c r="Y23" s="208"/>
      <c r="Z23" s="209"/>
      <c r="AA23" s="209"/>
      <c r="AB23" s="209"/>
      <c r="AC23" s="209"/>
      <c r="AD23" s="209"/>
      <c r="AE23" s="210"/>
    </row>
    <row r="24" spans="1:31" ht="15" customHeight="1">
      <c r="A24" s="110">
        <v>14</v>
      </c>
      <c r="B24" s="111" t="s">
        <v>118</v>
      </c>
      <c r="C24" s="109" t="s">
        <v>119</v>
      </c>
      <c r="D24" s="51"/>
      <c r="E24" s="127">
        <v>0</v>
      </c>
      <c r="F24" s="127">
        <v>1</v>
      </c>
      <c r="G24" s="127">
        <v>9</v>
      </c>
      <c r="H24" s="127">
        <v>12</v>
      </c>
      <c r="I24" s="127">
        <v>0</v>
      </c>
      <c r="J24" s="116">
        <v>2.5</v>
      </c>
      <c r="K24" s="116">
        <v>10</v>
      </c>
      <c r="L24" s="116">
        <v>9</v>
      </c>
      <c r="M24" s="116">
        <v>6</v>
      </c>
      <c r="N24" s="121">
        <v>0</v>
      </c>
      <c r="O24" s="116">
        <v>0</v>
      </c>
      <c r="P24" s="116">
        <v>0</v>
      </c>
      <c r="Q24" s="116">
        <v>0</v>
      </c>
      <c r="R24" s="116">
        <v>0</v>
      </c>
      <c r="S24" s="117">
        <v>0</v>
      </c>
      <c r="T24" s="116">
        <v>15</v>
      </c>
      <c r="U24" s="116">
        <v>0</v>
      </c>
      <c r="V24" s="116">
        <v>0</v>
      </c>
      <c r="W24" s="116">
        <v>0</v>
      </c>
      <c r="X24" s="125">
        <v>0</v>
      </c>
      <c r="Y24" s="208"/>
      <c r="Z24" s="209"/>
      <c r="AA24" s="209"/>
      <c r="AB24" s="209"/>
      <c r="AC24" s="209"/>
      <c r="AD24" s="209"/>
      <c r="AE24" s="210"/>
    </row>
    <row r="25" spans="1:31" ht="15" customHeight="1">
      <c r="A25" s="110">
        <v>15</v>
      </c>
      <c r="B25" s="111" t="s">
        <v>120</v>
      </c>
      <c r="C25" s="109" t="s">
        <v>121</v>
      </c>
      <c r="D25" s="51"/>
      <c r="E25" s="127">
        <v>0</v>
      </c>
      <c r="F25" s="127">
        <v>1</v>
      </c>
      <c r="G25" s="127">
        <v>12</v>
      </c>
      <c r="H25" s="127">
        <v>13</v>
      </c>
      <c r="I25" s="127">
        <v>0</v>
      </c>
      <c r="J25" s="116">
        <v>2</v>
      </c>
      <c r="K25" s="116">
        <v>10</v>
      </c>
      <c r="L25" s="116">
        <v>8</v>
      </c>
      <c r="M25" s="116">
        <v>6</v>
      </c>
      <c r="N25" s="121">
        <v>0</v>
      </c>
      <c r="O25" s="116">
        <v>0</v>
      </c>
      <c r="P25" s="116">
        <v>0</v>
      </c>
      <c r="Q25" s="116">
        <v>0</v>
      </c>
      <c r="R25" s="116">
        <v>0</v>
      </c>
      <c r="S25" s="117">
        <v>0</v>
      </c>
      <c r="T25" s="116">
        <v>22</v>
      </c>
      <c r="U25" s="116">
        <v>0</v>
      </c>
      <c r="V25" s="116">
        <v>0</v>
      </c>
      <c r="W25" s="114">
        <v>0</v>
      </c>
      <c r="X25" s="125">
        <v>0</v>
      </c>
      <c r="Y25" s="208"/>
      <c r="Z25" s="209"/>
      <c r="AA25" s="209"/>
      <c r="AB25" s="209"/>
      <c r="AC25" s="209"/>
      <c r="AD25" s="209"/>
      <c r="AE25" s="210"/>
    </row>
    <row r="26" spans="1:31" ht="15" customHeight="1">
      <c r="A26" s="110">
        <v>16</v>
      </c>
      <c r="B26" s="111" t="s">
        <v>122</v>
      </c>
      <c r="C26" s="109" t="s">
        <v>123</v>
      </c>
      <c r="D26" s="51"/>
      <c r="E26" s="127">
        <v>0</v>
      </c>
      <c r="F26" s="127">
        <v>0</v>
      </c>
      <c r="G26" s="127">
        <v>6</v>
      </c>
      <c r="H26" s="127">
        <v>8.5</v>
      </c>
      <c r="I26" s="127">
        <v>0</v>
      </c>
      <c r="J26" s="116">
        <v>0.5</v>
      </c>
      <c r="K26" s="116">
        <v>9.5</v>
      </c>
      <c r="L26" s="116">
        <v>7</v>
      </c>
      <c r="M26" s="116">
        <v>2</v>
      </c>
      <c r="N26" s="121">
        <v>0</v>
      </c>
      <c r="O26" s="116">
        <v>0</v>
      </c>
      <c r="P26" s="116">
        <v>0</v>
      </c>
      <c r="Q26" s="116">
        <v>0</v>
      </c>
      <c r="R26" s="116">
        <v>0</v>
      </c>
      <c r="S26" s="117">
        <v>0</v>
      </c>
      <c r="T26" s="116">
        <v>21</v>
      </c>
      <c r="U26" s="116">
        <v>0</v>
      </c>
      <c r="V26" s="116">
        <v>0</v>
      </c>
      <c r="W26" s="116">
        <v>0</v>
      </c>
      <c r="X26" s="125">
        <v>0</v>
      </c>
      <c r="Y26" s="208"/>
      <c r="Z26" s="209"/>
      <c r="AA26" s="209"/>
      <c r="AB26" s="209"/>
      <c r="AC26" s="209"/>
      <c r="AD26" s="209"/>
      <c r="AE26" s="210"/>
    </row>
    <row r="27" spans="1:31" ht="15" customHeight="1">
      <c r="A27" s="110">
        <v>17</v>
      </c>
      <c r="B27" s="111" t="s">
        <v>124</v>
      </c>
      <c r="C27" s="109" t="s">
        <v>125</v>
      </c>
      <c r="D27" s="51"/>
      <c r="E27" s="127">
        <v>0</v>
      </c>
      <c r="F27" s="127">
        <v>0</v>
      </c>
      <c r="G27" s="127">
        <v>10</v>
      </c>
      <c r="H27" s="127">
        <v>3.5</v>
      </c>
      <c r="I27" s="127">
        <v>0</v>
      </c>
      <c r="J27" s="116">
        <v>0.5</v>
      </c>
      <c r="K27" s="116">
        <v>2</v>
      </c>
      <c r="L27" s="116">
        <v>5</v>
      </c>
      <c r="M27" s="116">
        <v>0</v>
      </c>
      <c r="N27" s="121">
        <v>0</v>
      </c>
      <c r="O27" s="116">
        <v>0</v>
      </c>
      <c r="P27" s="116">
        <v>0</v>
      </c>
      <c r="Q27" s="116">
        <v>0</v>
      </c>
      <c r="R27" s="116">
        <v>0</v>
      </c>
      <c r="S27" s="117">
        <v>0</v>
      </c>
      <c r="T27" s="116">
        <v>20</v>
      </c>
      <c r="U27" s="116">
        <v>0</v>
      </c>
      <c r="V27" s="116">
        <v>0</v>
      </c>
      <c r="W27" s="114">
        <v>0</v>
      </c>
      <c r="X27" s="125">
        <v>0</v>
      </c>
      <c r="Y27" s="208"/>
      <c r="Z27" s="209"/>
      <c r="AA27" s="209"/>
      <c r="AB27" s="209"/>
      <c r="AC27" s="209"/>
      <c r="AD27" s="209"/>
      <c r="AE27" s="210"/>
    </row>
    <row r="28" spans="1:31" ht="15" customHeight="1">
      <c r="A28" s="110">
        <v>18</v>
      </c>
      <c r="B28" s="111" t="s">
        <v>126</v>
      </c>
      <c r="C28" s="109" t="s">
        <v>127</v>
      </c>
      <c r="D28" s="51"/>
      <c r="E28" s="127">
        <v>0</v>
      </c>
      <c r="F28" s="127">
        <v>1</v>
      </c>
      <c r="G28" s="127">
        <v>8</v>
      </c>
      <c r="H28" s="127">
        <v>3</v>
      </c>
      <c r="I28" s="127">
        <v>0</v>
      </c>
      <c r="J28" s="116">
        <v>3.5</v>
      </c>
      <c r="K28" s="116">
        <v>9.5</v>
      </c>
      <c r="L28" s="116">
        <v>5</v>
      </c>
      <c r="M28" s="116">
        <v>2.5</v>
      </c>
      <c r="N28" s="121">
        <v>0</v>
      </c>
      <c r="O28" s="116">
        <v>0</v>
      </c>
      <c r="P28" s="116">
        <v>0</v>
      </c>
      <c r="Q28" s="116">
        <v>0</v>
      </c>
      <c r="R28" s="116">
        <v>0</v>
      </c>
      <c r="S28" s="117">
        <v>0</v>
      </c>
      <c r="T28" s="116">
        <v>21</v>
      </c>
      <c r="U28" s="116">
        <v>0</v>
      </c>
      <c r="V28" s="116">
        <v>0</v>
      </c>
      <c r="W28" s="116">
        <v>0</v>
      </c>
      <c r="X28" s="125">
        <v>0</v>
      </c>
      <c r="Y28" s="208"/>
      <c r="Z28" s="209"/>
      <c r="AA28" s="209"/>
      <c r="AB28" s="209"/>
      <c r="AC28" s="209"/>
      <c r="AD28" s="209"/>
      <c r="AE28" s="210"/>
    </row>
    <row r="29" spans="1:31" ht="15" customHeight="1">
      <c r="A29" s="110">
        <v>19</v>
      </c>
      <c r="B29" s="111" t="s">
        <v>128</v>
      </c>
      <c r="C29" s="109" t="s">
        <v>129</v>
      </c>
      <c r="D29" s="51"/>
      <c r="E29" s="127">
        <v>0</v>
      </c>
      <c r="F29" s="127">
        <v>0</v>
      </c>
      <c r="G29" s="127">
        <v>9</v>
      </c>
      <c r="H29" s="127">
        <v>1</v>
      </c>
      <c r="I29" s="127">
        <v>0</v>
      </c>
      <c r="J29" s="116">
        <v>2</v>
      </c>
      <c r="K29" s="116">
        <v>5</v>
      </c>
      <c r="L29" s="116">
        <v>8</v>
      </c>
      <c r="M29" s="116">
        <v>0</v>
      </c>
      <c r="N29" s="121">
        <v>0</v>
      </c>
      <c r="O29" s="116">
        <v>0</v>
      </c>
      <c r="P29" s="116">
        <v>0</v>
      </c>
      <c r="Q29" s="116">
        <v>0</v>
      </c>
      <c r="R29" s="116">
        <v>0</v>
      </c>
      <c r="S29" s="117">
        <v>0</v>
      </c>
      <c r="T29" s="116">
        <v>21</v>
      </c>
      <c r="U29" s="116">
        <v>0</v>
      </c>
      <c r="V29" s="116">
        <v>0</v>
      </c>
      <c r="W29" s="114">
        <v>0</v>
      </c>
      <c r="X29" s="125">
        <v>0</v>
      </c>
      <c r="Y29" s="208"/>
      <c r="Z29" s="209"/>
      <c r="AA29" s="209"/>
      <c r="AB29" s="209"/>
      <c r="AC29" s="209"/>
      <c r="AD29" s="209"/>
      <c r="AE29" s="210"/>
    </row>
    <row r="30" spans="1:31" ht="15" customHeight="1">
      <c r="A30" s="110">
        <v>20</v>
      </c>
      <c r="B30" s="111" t="s">
        <v>130</v>
      </c>
      <c r="C30" s="109" t="s">
        <v>131</v>
      </c>
      <c r="D30" s="51"/>
      <c r="E30" s="127">
        <v>0</v>
      </c>
      <c r="F30" s="127">
        <v>2</v>
      </c>
      <c r="G30" s="127">
        <v>7</v>
      </c>
      <c r="H30" s="127">
        <v>7</v>
      </c>
      <c r="I30" s="127">
        <v>0</v>
      </c>
      <c r="J30" s="116">
        <v>1.5</v>
      </c>
      <c r="K30" s="116">
        <v>10</v>
      </c>
      <c r="L30" s="116">
        <v>5</v>
      </c>
      <c r="M30" s="116">
        <v>5.5</v>
      </c>
      <c r="N30" s="121">
        <v>0</v>
      </c>
      <c r="O30" s="116">
        <v>0</v>
      </c>
      <c r="P30" s="116">
        <v>0</v>
      </c>
      <c r="Q30" s="116">
        <v>0</v>
      </c>
      <c r="R30" s="116">
        <v>0</v>
      </c>
      <c r="S30" s="117">
        <v>0</v>
      </c>
      <c r="T30" s="116">
        <v>16</v>
      </c>
      <c r="U30" s="116">
        <v>0</v>
      </c>
      <c r="V30" s="116">
        <v>0</v>
      </c>
      <c r="W30" s="116">
        <v>0</v>
      </c>
      <c r="X30" s="125">
        <v>0</v>
      </c>
      <c r="Y30" s="208"/>
      <c r="Z30" s="209"/>
      <c r="AA30" s="209"/>
      <c r="AB30" s="209"/>
      <c r="AC30" s="209"/>
      <c r="AD30" s="209"/>
      <c r="AE30" s="210"/>
    </row>
    <row r="31" spans="1:31" ht="15" customHeight="1">
      <c r="A31" s="110">
        <v>21</v>
      </c>
      <c r="B31" s="111" t="s">
        <v>132</v>
      </c>
      <c r="C31" s="109" t="s">
        <v>133</v>
      </c>
      <c r="D31" s="51"/>
      <c r="E31" s="127">
        <v>0</v>
      </c>
      <c r="F31" s="127">
        <v>0</v>
      </c>
      <c r="G31" s="127">
        <v>8</v>
      </c>
      <c r="H31" s="127">
        <v>10.5</v>
      </c>
      <c r="I31" s="127">
        <v>0</v>
      </c>
      <c r="J31" s="116">
        <v>2.5</v>
      </c>
      <c r="K31" s="116">
        <v>4</v>
      </c>
      <c r="L31" s="116">
        <v>7</v>
      </c>
      <c r="M31" s="116">
        <v>2.5</v>
      </c>
      <c r="N31" s="121">
        <v>0</v>
      </c>
      <c r="O31" s="116">
        <v>0</v>
      </c>
      <c r="P31" s="116">
        <v>0</v>
      </c>
      <c r="Q31" s="116">
        <v>0</v>
      </c>
      <c r="R31" s="116">
        <v>0</v>
      </c>
      <c r="S31" s="117">
        <v>0</v>
      </c>
      <c r="T31" s="116">
        <v>19</v>
      </c>
      <c r="U31" s="116">
        <v>0</v>
      </c>
      <c r="V31" s="116">
        <v>0</v>
      </c>
      <c r="W31" s="114">
        <v>0</v>
      </c>
      <c r="X31" s="125">
        <v>0</v>
      </c>
      <c r="Y31" s="208"/>
      <c r="Z31" s="209"/>
      <c r="AA31" s="209"/>
      <c r="AB31" s="209"/>
      <c r="AC31" s="209"/>
      <c r="AD31" s="209"/>
      <c r="AE31" s="210"/>
    </row>
    <row r="32" spans="1:31" ht="15" customHeight="1">
      <c r="A32" s="110">
        <v>22</v>
      </c>
      <c r="B32" s="111" t="s">
        <v>134</v>
      </c>
      <c r="C32" s="109" t="s">
        <v>135</v>
      </c>
      <c r="D32" s="51"/>
      <c r="E32" s="127">
        <v>0</v>
      </c>
      <c r="F32" s="127">
        <v>0</v>
      </c>
      <c r="G32" s="127">
        <v>10</v>
      </c>
      <c r="H32" s="127">
        <v>8</v>
      </c>
      <c r="I32" s="127">
        <v>0</v>
      </c>
      <c r="J32" s="116">
        <v>1.5</v>
      </c>
      <c r="K32" s="116">
        <v>7.5</v>
      </c>
      <c r="L32" s="116">
        <v>9</v>
      </c>
      <c r="M32" s="116">
        <v>4.5</v>
      </c>
      <c r="N32" s="121">
        <v>0</v>
      </c>
      <c r="O32" s="116">
        <v>0</v>
      </c>
      <c r="P32" s="116">
        <v>0</v>
      </c>
      <c r="Q32" s="116">
        <v>0</v>
      </c>
      <c r="R32" s="116">
        <v>0</v>
      </c>
      <c r="S32" s="117">
        <v>0</v>
      </c>
      <c r="T32" s="116">
        <v>16</v>
      </c>
      <c r="U32" s="116">
        <v>0</v>
      </c>
      <c r="V32" s="116">
        <v>0</v>
      </c>
      <c r="W32" s="116">
        <v>0</v>
      </c>
      <c r="X32" s="125">
        <v>0</v>
      </c>
      <c r="Y32" s="208"/>
      <c r="Z32" s="209"/>
      <c r="AA32" s="209"/>
      <c r="AB32" s="209"/>
      <c r="AC32" s="209"/>
      <c r="AD32" s="209"/>
      <c r="AE32" s="210"/>
    </row>
    <row r="33" spans="1:31" ht="15" customHeight="1">
      <c r="A33" s="110">
        <v>23</v>
      </c>
      <c r="B33" s="111" t="s">
        <v>136</v>
      </c>
      <c r="C33" s="109" t="s">
        <v>137</v>
      </c>
      <c r="D33" s="51"/>
      <c r="E33" s="127">
        <v>0</v>
      </c>
      <c r="F33" s="127">
        <v>0</v>
      </c>
      <c r="G33" s="127">
        <v>11</v>
      </c>
      <c r="H33" s="127">
        <v>7.5</v>
      </c>
      <c r="I33" s="127">
        <v>0</v>
      </c>
      <c r="J33" s="116">
        <v>1.5</v>
      </c>
      <c r="K33" s="116">
        <v>7.5</v>
      </c>
      <c r="L33" s="116">
        <v>7</v>
      </c>
      <c r="M33" s="116">
        <v>2.5</v>
      </c>
      <c r="N33" s="121">
        <v>0</v>
      </c>
      <c r="O33" s="116">
        <v>0</v>
      </c>
      <c r="P33" s="116">
        <v>0</v>
      </c>
      <c r="Q33" s="116">
        <v>0</v>
      </c>
      <c r="R33" s="116">
        <v>0</v>
      </c>
      <c r="S33" s="117">
        <v>0</v>
      </c>
      <c r="T33" s="116">
        <v>20</v>
      </c>
      <c r="U33" s="116">
        <v>0</v>
      </c>
      <c r="V33" s="116">
        <v>0</v>
      </c>
      <c r="W33" s="114">
        <v>0</v>
      </c>
      <c r="X33" s="125">
        <v>0</v>
      </c>
      <c r="Y33" s="208"/>
      <c r="Z33" s="209"/>
      <c r="AA33" s="209"/>
      <c r="AB33" s="209"/>
      <c r="AC33" s="209"/>
      <c r="AD33" s="209"/>
      <c r="AE33" s="210"/>
    </row>
    <row r="34" spans="1:31" ht="15" customHeight="1">
      <c r="A34" s="110">
        <v>24</v>
      </c>
      <c r="B34" s="111" t="s">
        <v>138</v>
      </c>
      <c r="C34" s="109" t="s">
        <v>139</v>
      </c>
      <c r="D34" s="51"/>
      <c r="E34" s="127">
        <v>0</v>
      </c>
      <c r="F34" s="127">
        <v>0</v>
      </c>
      <c r="G34" s="127">
        <v>10</v>
      </c>
      <c r="H34" s="127">
        <v>10</v>
      </c>
      <c r="I34" s="127">
        <v>0</v>
      </c>
      <c r="J34" s="116">
        <v>1.5</v>
      </c>
      <c r="K34" s="116">
        <v>9.5</v>
      </c>
      <c r="L34" s="116">
        <v>4</v>
      </c>
      <c r="M34" s="116">
        <v>3.5</v>
      </c>
      <c r="N34" s="121">
        <v>0</v>
      </c>
      <c r="O34" s="116">
        <v>0</v>
      </c>
      <c r="P34" s="116">
        <v>0</v>
      </c>
      <c r="Q34" s="116">
        <v>0</v>
      </c>
      <c r="R34" s="116">
        <v>0</v>
      </c>
      <c r="S34" s="117">
        <v>0</v>
      </c>
      <c r="T34" s="116">
        <v>18</v>
      </c>
      <c r="U34" s="116">
        <v>0</v>
      </c>
      <c r="V34" s="116">
        <v>0</v>
      </c>
      <c r="W34" s="116">
        <v>0</v>
      </c>
      <c r="X34" s="125">
        <v>0</v>
      </c>
      <c r="Y34" s="208"/>
      <c r="Z34" s="209"/>
      <c r="AA34" s="209"/>
      <c r="AB34" s="209"/>
      <c r="AC34" s="209"/>
      <c r="AD34" s="209"/>
      <c r="AE34" s="210"/>
    </row>
    <row r="35" spans="1:31" ht="15" customHeight="1">
      <c r="A35" s="110">
        <v>25</v>
      </c>
      <c r="B35" s="111" t="s">
        <v>140</v>
      </c>
      <c r="C35" s="109" t="s">
        <v>141</v>
      </c>
      <c r="D35" s="51"/>
      <c r="E35" s="127">
        <v>0</v>
      </c>
      <c r="F35" s="127">
        <v>2</v>
      </c>
      <c r="G35" s="127">
        <v>8</v>
      </c>
      <c r="H35" s="127">
        <v>11</v>
      </c>
      <c r="I35" s="127">
        <v>0</v>
      </c>
      <c r="J35" s="116">
        <v>3</v>
      </c>
      <c r="K35" s="116">
        <v>4</v>
      </c>
      <c r="L35" s="116">
        <v>8</v>
      </c>
      <c r="M35" s="116">
        <v>2</v>
      </c>
      <c r="N35" s="121">
        <v>0</v>
      </c>
      <c r="O35" s="116">
        <v>0</v>
      </c>
      <c r="P35" s="116">
        <v>0</v>
      </c>
      <c r="Q35" s="116">
        <v>0</v>
      </c>
      <c r="R35" s="116">
        <v>0</v>
      </c>
      <c r="S35" s="117">
        <v>0</v>
      </c>
      <c r="T35" s="116">
        <v>22</v>
      </c>
      <c r="U35" s="116">
        <v>0</v>
      </c>
      <c r="V35" s="116">
        <v>0</v>
      </c>
      <c r="W35" s="114">
        <v>0</v>
      </c>
      <c r="X35" s="125">
        <v>0</v>
      </c>
      <c r="Y35" s="208"/>
      <c r="Z35" s="209"/>
      <c r="AA35" s="209"/>
      <c r="AB35" s="209"/>
      <c r="AC35" s="209"/>
      <c r="AD35" s="209"/>
      <c r="AE35" s="210"/>
    </row>
    <row r="36" spans="1:31" ht="15" customHeight="1">
      <c r="A36" s="110">
        <v>26</v>
      </c>
      <c r="B36" s="111" t="s">
        <v>142</v>
      </c>
      <c r="C36" s="109" t="s">
        <v>143</v>
      </c>
      <c r="D36" s="51"/>
      <c r="E36" s="127">
        <v>0</v>
      </c>
      <c r="F36" s="127">
        <v>0</v>
      </c>
      <c r="G36" s="127">
        <v>12</v>
      </c>
      <c r="H36" s="127">
        <v>8.5</v>
      </c>
      <c r="I36" s="127">
        <v>0</v>
      </c>
      <c r="J36" s="116">
        <v>2.5</v>
      </c>
      <c r="K36" s="116">
        <v>6</v>
      </c>
      <c r="L36" s="116">
        <v>6</v>
      </c>
      <c r="M36" s="116">
        <v>4.5</v>
      </c>
      <c r="N36" s="121">
        <v>0</v>
      </c>
      <c r="O36" s="116">
        <v>0</v>
      </c>
      <c r="P36" s="116">
        <v>0</v>
      </c>
      <c r="Q36" s="116">
        <v>0</v>
      </c>
      <c r="R36" s="116">
        <v>0</v>
      </c>
      <c r="S36" s="117">
        <v>0</v>
      </c>
      <c r="T36" s="116">
        <v>20</v>
      </c>
      <c r="U36" s="116">
        <v>0</v>
      </c>
      <c r="V36" s="116">
        <v>0</v>
      </c>
      <c r="W36" s="116">
        <v>0</v>
      </c>
      <c r="X36" s="125">
        <v>0</v>
      </c>
      <c r="Y36" s="208"/>
      <c r="Z36" s="209"/>
      <c r="AA36" s="209"/>
      <c r="AB36" s="209"/>
      <c r="AC36" s="209"/>
      <c r="AD36" s="209"/>
      <c r="AE36" s="210"/>
    </row>
    <row r="37" spans="1:31" ht="15" customHeight="1">
      <c r="A37" s="110">
        <v>27</v>
      </c>
      <c r="B37" s="111" t="s">
        <v>144</v>
      </c>
      <c r="C37" s="109" t="s">
        <v>145</v>
      </c>
      <c r="D37" s="51"/>
      <c r="E37" s="127">
        <v>0</v>
      </c>
      <c r="F37" s="127">
        <v>0</v>
      </c>
      <c r="G37" s="127">
        <v>11</v>
      </c>
      <c r="H37" s="127">
        <v>6</v>
      </c>
      <c r="I37" s="127">
        <v>0</v>
      </c>
      <c r="J37" s="116">
        <v>2</v>
      </c>
      <c r="K37" s="116">
        <v>6</v>
      </c>
      <c r="L37" s="116">
        <v>6</v>
      </c>
      <c r="M37" s="116">
        <v>2</v>
      </c>
      <c r="N37" s="121">
        <v>0</v>
      </c>
      <c r="O37" s="116">
        <v>0</v>
      </c>
      <c r="P37" s="116">
        <v>0</v>
      </c>
      <c r="Q37" s="116">
        <v>0</v>
      </c>
      <c r="R37" s="116">
        <v>0</v>
      </c>
      <c r="S37" s="117">
        <v>0</v>
      </c>
      <c r="T37" s="116">
        <v>19</v>
      </c>
      <c r="U37" s="116">
        <v>0</v>
      </c>
      <c r="V37" s="116">
        <v>0</v>
      </c>
      <c r="W37" s="114">
        <v>0</v>
      </c>
      <c r="X37" s="125">
        <v>0</v>
      </c>
      <c r="Y37" s="208"/>
      <c r="Z37" s="209"/>
      <c r="AA37" s="209"/>
      <c r="AB37" s="209"/>
      <c r="AC37" s="209"/>
      <c r="AD37" s="209"/>
      <c r="AE37" s="210"/>
    </row>
    <row r="38" spans="1:31" ht="15" customHeight="1">
      <c r="A38" s="110">
        <v>28</v>
      </c>
      <c r="B38" s="111" t="s">
        <v>146</v>
      </c>
      <c r="C38" s="109" t="s">
        <v>147</v>
      </c>
      <c r="D38" s="51"/>
      <c r="E38" s="127">
        <v>0</v>
      </c>
      <c r="F38" s="127">
        <v>0</v>
      </c>
      <c r="G38" s="127">
        <v>8</v>
      </c>
      <c r="H38" s="127">
        <v>5.5</v>
      </c>
      <c r="I38" s="127">
        <v>0</v>
      </c>
      <c r="J38" s="116">
        <v>3.5</v>
      </c>
      <c r="K38" s="116">
        <v>4</v>
      </c>
      <c r="L38" s="116">
        <v>6</v>
      </c>
      <c r="M38" s="116">
        <v>2.5</v>
      </c>
      <c r="N38" s="121">
        <v>0</v>
      </c>
      <c r="O38" s="116">
        <v>0</v>
      </c>
      <c r="P38" s="116">
        <v>0</v>
      </c>
      <c r="Q38" s="116">
        <v>0</v>
      </c>
      <c r="R38" s="116">
        <v>0</v>
      </c>
      <c r="S38" s="117">
        <v>0</v>
      </c>
      <c r="T38" s="116">
        <v>21</v>
      </c>
      <c r="U38" s="116">
        <v>0</v>
      </c>
      <c r="V38" s="116">
        <v>0</v>
      </c>
      <c r="W38" s="116">
        <v>0</v>
      </c>
      <c r="X38" s="125">
        <v>0</v>
      </c>
      <c r="Y38" s="208"/>
      <c r="Z38" s="209"/>
      <c r="AA38" s="209"/>
      <c r="AB38" s="209"/>
      <c r="AC38" s="209"/>
      <c r="AD38" s="209"/>
      <c r="AE38" s="210"/>
    </row>
    <row r="39" spans="1:31" ht="15" customHeight="1">
      <c r="A39" s="110">
        <v>29</v>
      </c>
      <c r="B39" s="111" t="s">
        <v>148</v>
      </c>
      <c r="C39" s="109" t="s">
        <v>149</v>
      </c>
      <c r="D39" s="51"/>
      <c r="E39" s="127">
        <v>0</v>
      </c>
      <c r="F39" s="127">
        <v>0.5</v>
      </c>
      <c r="G39" s="127">
        <v>9</v>
      </c>
      <c r="H39" s="127">
        <v>3</v>
      </c>
      <c r="I39" s="127">
        <v>0</v>
      </c>
      <c r="J39" s="116">
        <v>2</v>
      </c>
      <c r="K39" s="116">
        <v>5</v>
      </c>
      <c r="L39" s="116">
        <v>6</v>
      </c>
      <c r="M39" s="116">
        <v>2</v>
      </c>
      <c r="N39" s="121">
        <v>0</v>
      </c>
      <c r="O39" s="116">
        <v>0</v>
      </c>
      <c r="P39" s="116">
        <v>0</v>
      </c>
      <c r="Q39" s="116">
        <v>0</v>
      </c>
      <c r="R39" s="116">
        <v>0</v>
      </c>
      <c r="S39" s="117">
        <v>0</v>
      </c>
      <c r="T39" s="116">
        <v>19</v>
      </c>
      <c r="U39" s="116">
        <v>0</v>
      </c>
      <c r="V39" s="116">
        <v>0</v>
      </c>
      <c r="W39" s="114">
        <v>0</v>
      </c>
      <c r="X39" s="125">
        <v>0</v>
      </c>
      <c r="Y39" s="208"/>
      <c r="Z39" s="209"/>
      <c r="AA39" s="209"/>
      <c r="AB39" s="209"/>
      <c r="AC39" s="209"/>
      <c r="AD39" s="209"/>
      <c r="AE39" s="210"/>
    </row>
    <row r="40" spans="1:31" ht="15" customHeight="1">
      <c r="A40" s="110">
        <v>30</v>
      </c>
      <c r="B40" s="111" t="s">
        <v>150</v>
      </c>
      <c r="C40" s="109" t="s">
        <v>151</v>
      </c>
      <c r="D40" s="51"/>
      <c r="E40" s="127">
        <v>0</v>
      </c>
      <c r="F40" s="127">
        <v>5</v>
      </c>
      <c r="G40" s="127">
        <v>12</v>
      </c>
      <c r="H40" s="127">
        <v>24</v>
      </c>
      <c r="I40" s="127">
        <v>0</v>
      </c>
      <c r="J40" s="116">
        <v>0</v>
      </c>
      <c r="K40" s="116">
        <v>10</v>
      </c>
      <c r="L40" s="116">
        <v>9</v>
      </c>
      <c r="M40" s="116">
        <v>5</v>
      </c>
      <c r="N40" s="121">
        <v>0</v>
      </c>
      <c r="O40" s="116">
        <v>0</v>
      </c>
      <c r="P40" s="116">
        <v>0</v>
      </c>
      <c r="Q40" s="116">
        <v>0</v>
      </c>
      <c r="R40" s="116">
        <v>0</v>
      </c>
      <c r="S40" s="117">
        <v>0</v>
      </c>
      <c r="T40" s="116">
        <v>19</v>
      </c>
      <c r="U40" s="116">
        <v>0</v>
      </c>
      <c r="V40" s="116">
        <v>0</v>
      </c>
      <c r="W40" s="116">
        <v>0</v>
      </c>
      <c r="X40" s="125">
        <v>0</v>
      </c>
      <c r="Y40" s="208"/>
      <c r="Z40" s="209"/>
      <c r="AA40" s="209"/>
      <c r="AB40" s="209"/>
      <c r="AC40" s="209"/>
      <c r="AD40" s="209"/>
      <c r="AE40" s="210"/>
    </row>
    <row r="41" spans="1:31" ht="15" customHeight="1">
      <c r="A41" s="110">
        <v>31</v>
      </c>
      <c r="B41" s="111" t="s">
        <v>152</v>
      </c>
      <c r="C41" s="109" t="s">
        <v>153</v>
      </c>
      <c r="D41" s="51"/>
      <c r="E41" s="127">
        <v>0</v>
      </c>
      <c r="F41" s="127">
        <v>0</v>
      </c>
      <c r="G41" s="127">
        <v>13</v>
      </c>
      <c r="H41" s="127">
        <v>0</v>
      </c>
      <c r="I41" s="127">
        <v>0</v>
      </c>
      <c r="J41" s="116">
        <v>0</v>
      </c>
      <c r="K41" s="116">
        <v>0.5</v>
      </c>
      <c r="L41" s="116">
        <v>7</v>
      </c>
      <c r="M41" s="116">
        <v>4.5</v>
      </c>
      <c r="N41" s="121">
        <v>0</v>
      </c>
      <c r="O41" s="116">
        <v>0</v>
      </c>
      <c r="P41" s="116">
        <v>0</v>
      </c>
      <c r="Q41" s="116">
        <v>0</v>
      </c>
      <c r="R41" s="116">
        <v>0</v>
      </c>
      <c r="S41" s="117">
        <v>0</v>
      </c>
      <c r="T41" s="116">
        <v>23</v>
      </c>
      <c r="U41" s="116">
        <v>0</v>
      </c>
      <c r="V41" s="116">
        <v>0</v>
      </c>
      <c r="W41" s="114">
        <v>0</v>
      </c>
      <c r="X41" s="125">
        <v>0</v>
      </c>
      <c r="Y41" s="208"/>
      <c r="Z41" s="209"/>
      <c r="AA41" s="209"/>
      <c r="AB41" s="209"/>
      <c r="AC41" s="209"/>
      <c r="AD41" s="209"/>
      <c r="AE41" s="210"/>
    </row>
    <row r="42" spans="1:31" ht="15" customHeight="1">
      <c r="A42" s="110">
        <v>32</v>
      </c>
      <c r="B42" s="111" t="s">
        <v>154</v>
      </c>
      <c r="C42" s="109" t="s">
        <v>155</v>
      </c>
      <c r="D42" s="51"/>
      <c r="E42" s="127">
        <v>0</v>
      </c>
      <c r="F42" s="127">
        <v>0</v>
      </c>
      <c r="G42" s="127">
        <v>12</v>
      </c>
      <c r="H42" s="127">
        <v>8</v>
      </c>
      <c r="I42" s="127">
        <v>0</v>
      </c>
      <c r="J42" s="116">
        <v>0</v>
      </c>
      <c r="K42" s="116">
        <v>5.5</v>
      </c>
      <c r="L42" s="116">
        <v>8</v>
      </c>
      <c r="M42" s="116">
        <v>2.5</v>
      </c>
      <c r="N42" s="121">
        <v>0</v>
      </c>
      <c r="O42" s="116">
        <v>0</v>
      </c>
      <c r="P42" s="116">
        <v>0</v>
      </c>
      <c r="Q42" s="116">
        <v>0</v>
      </c>
      <c r="R42" s="116">
        <v>0</v>
      </c>
      <c r="S42" s="117">
        <v>0</v>
      </c>
      <c r="T42" s="116">
        <v>20</v>
      </c>
      <c r="U42" s="116">
        <v>0</v>
      </c>
      <c r="V42" s="116">
        <v>0</v>
      </c>
      <c r="W42" s="116">
        <v>0</v>
      </c>
      <c r="X42" s="125">
        <v>0</v>
      </c>
      <c r="Y42" s="208"/>
      <c r="Z42" s="209"/>
      <c r="AA42" s="209"/>
      <c r="AB42" s="209"/>
      <c r="AC42" s="209"/>
      <c r="AD42" s="209"/>
      <c r="AE42" s="210"/>
    </row>
    <row r="43" spans="1:31" ht="15" customHeight="1">
      <c r="A43" s="110">
        <v>33</v>
      </c>
      <c r="B43" s="111" t="s">
        <v>156</v>
      </c>
      <c r="C43" s="109" t="s">
        <v>157</v>
      </c>
      <c r="D43" s="51"/>
      <c r="E43" s="127">
        <v>0</v>
      </c>
      <c r="F43" s="127">
        <v>1</v>
      </c>
      <c r="G43" s="127">
        <v>10</v>
      </c>
      <c r="H43" s="127">
        <v>12</v>
      </c>
      <c r="I43" s="127">
        <v>0</v>
      </c>
      <c r="J43" s="116">
        <v>2</v>
      </c>
      <c r="K43" s="116">
        <v>3.5</v>
      </c>
      <c r="L43" s="116">
        <v>7</v>
      </c>
      <c r="M43" s="116">
        <v>3.5</v>
      </c>
      <c r="N43" s="121">
        <v>0</v>
      </c>
      <c r="O43" s="116">
        <v>0</v>
      </c>
      <c r="P43" s="116">
        <v>0</v>
      </c>
      <c r="Q43" s="116">
        <v>0</v>
      </c>
      <c r="R43" s="116">
        <v>0</v>
      </c>
      <c r="S43" s="117">
        <v>0</v>
      </c>
      <c r="T43" s="116">
        <v>21</v>
      </c>
      <c r="U43" s="116">
        <v>0</v>
      </c>
      <c r="V43" s="116">
        <v>0</v>
      </c>
      <c r="W43" s="114">
        <v>0</v>
      </c>
      <c r="X43" s="125">
        <v>0</v>
      </c>
      <c r="Y43" s="208"/>
      <c r="Z43" s="209"/>
      <c r="AA43" s="209"/>
      <c r="AB43" s="209"/>
      <c r="AC43" s="209"/>
      <c r="AD43" s="209"/>
      <c r="AE43" s="210"/>
    </row>
    <row r="44" spans="1:31" ht="15" customHeight="1">
      <c r="A44" s="110">
        <v>34</v>
      </c>
      <c r="B44" s="111" t="s">
        <v>158</v>
      </c>
      <c r="C44" s="109" t="s">
        <v>159</v>
      </c>
      <c r="D44" s="51"/>
      <c r="E44" s="127">
        <v>0</v>
      </c>
      <c r="F44" s="127">
        <v>0</v>
      </c>
      <c r="G44" s="127">
        <v>10</v>
      </c>
      <c r="H44" s="127">
        <v>8</v>
      </c>
      <c r="I44" s="127">
        <v>0</v>
      </c>
      <c r="J44" s="116">
        <v>3.5</v>
      </c>
      <c r="K44" s="116">
        <v>10</v>
      </c>
      <c r="L44" s="116">
        <v>5</v>
      </c>
      <c r="M44" s="116">
        <v>4.5</v>
      </c>
      <c r="N44" s="121">
        <v>0</v>
      </c>
      <c r="O44" s="116">
        <v>0</v>
      </c>
      <c r="P44" s="116">
        <v>0</v>
      </c>
      <c r="Q44" s="116">
        <v>0</v>
      </c>
      <c r="R44" s="116">
        <v>0</v>
      </c>
      <c r="S44" s="117">
        <v>0</v>
      </c>
      <c r="T44" s="116">
        <v>22</v>
      </c>
      <c r="U44" s="116">
        <v>0</v>
      </c>
      <c r="V44" s="116">
        <v>0</v>
      </c>
      <c r="W44" s="116">
        <v>0</v>
      </c>
      <c r="X44" s="125">
        <v>0</v>
      </c>
      <c r="Y44" s="208"/>
      <c r="Z44" s="209"/>
      <c r="AA44" s="209"/>
      <c r="AB44" s="209"/>
      <c r="AC44" s="209"/>
      <c r="AD44" s="209"/>
      <c r="AE44" s="210"/>
    </row>
    <row r="45" spans="1:31" ht="15" customHeight="1">
      <c r="A45" s="110">
        <v>35</v>
      </c>
      <c r="B45" s="111" t="s">
        <v>160</v>
      </c>
      <c r="C45" s="109" t="s">
        <v>161</v>
      </c>
      <c r="D45" s="51"/>
      <c r="E45" s="127">
        <v>0</v>
      </c>
      <c r="F45" s="127">
        <v>0</v>
      </c>
      <c r="G45" s="127">
        <v>10</v>
      </c>
      <c r="H45" s="127">
        <v>11</v>
      </c>
      <c r="I45" s="127">
        <v>0</v>
      </c>
      <c r="J45" s="116">
        <v>1</v>
      </c>
      <c r="K45" s="116">
        <v>6.5</v>
      </c>
      <c r="L45" s="116">
        <v>5</v>
      </c>
      <c r="M45" s="116">
        <v>2</v>
      </c>
      <c r="N45" s="121">
        <v>0</v>
      </c>
      <c r="O45" s="116">
        <v>0</v>
      </c>
      <c r="P45" s="116">
        <v>0</v>
      </c>
      <c r="Q45" s="116">
        <v>0</v>
      </c>
      <c r="R45" s="116">
        <v>0</v>
      </c>
      <c r="S45" s="117">
        <v>0</v>
      </c>
      <c r="T45" s="116">
        <v>18</v>
      </c>
      <c r="U45" s="116">
        <v>0</v>
      </c>
      <c r="V45" s="116">
        <v>0</v>
      </c>
      <c r="W45" s="114">
        <v>0</v>
      </c>
      <c r="X45" s="125">
        <v>0</v>
      </c>
      <c r="Y45" s="208"/>
      <c r="Z45" s="209"/>
      <c r="AA45" s="209"/>
      <c r="AB45" s="209"/>
      <c r="AC45" s="209"/>
      <c r="AD45" s="209"/>
      <c r="AE45" s="210"/>
    </row>
    <row r="46" spans="1:31" ht="15" customHeight="1">
      <c r="A46" s="110">
        <v>36</v>
      </c>
      <c r="B46" s="111" t="s">
        <v>162</v>
      </c>
      <c r="C46" s="109" t="s">
        <v>163</v>
      </c>
      <c r="D46" s="51"/>
      <c r="E46" s="128">
        <v>0</v>
      </c>
      <c r="F46" s="128">
        <v>0</v>
      </c>
      <c r="G46" s="128">
        <v>9</v>
      </c>
      <c r="H46" s="128">
        <v>6.5</v>
      </c>
      <c r="I46" s="127">
        <v>0</v>
      </c>
      <c r="J46" s="116">
        <v>1.5</v>
      </c>
      <c r="K46" s="116">
        <v>4</v>
      </c>
      <c r="L46" s="116">
        <v>3</v>
      </c>
      <c r="M46" s="116">
        <v>1</v>
      </c>
      <c r="N46" s="121">
        <v>0</v>
      </c>
      <c r="O46" s="116">
        <v>0</v>
      </c>
      <c r="P46" s="116">
        <v>0</v>
      </c>
      <c r="Q46" s="116">
        <v>0</v>
      </c>
      <c r="R46" s="116">
        <v>0</v>
      </c>
      <c r="S46" s="117">
        <v>0</v>
      </c>
      <c r="T46" s="116">
        <v>17</v>
      </c>
      <c r="U46" s="116">
        <v>0</v>
      </c>
      <c r="V46" s="116">
        <v>0</v>
      </c>
      <c r="W46" s="116">
        <v>0</v>
      </c>
      <c r="X46" s="125">
        <v>0</v>
      </c>
      <c r="Y46" s="208"/>
      <c r="Z46" s="209"/>
      <c r="AA46" s="209"/>
      <c r="AB46" s="209"/>
      <c r="AC46" s="209"/>
      <c r="AD46" s="209"/>
      <c r="AE46" s="210"/>
    </row>
    <row r="47" spans="1:31" ht="15" customHeight="1">
      <c r="A47" s="110">
        <v>37</v>
      </c>
      <c r="B47" s="111" t="s">
        <v>164</v>
      </c>
      <c r="C47" s="109" t="s">
        <v>165</v>
      </c>
      <c r="D47" s="51"/>
      <c r="E47" s="127">
        <v>0</v>
      </c>
      <c r="F47" s="127">
        <v>2</v>
      </c>
      <c r="G47" s="127">
        <v>10</v>
      </c>
      <c r="H47" s="127">
        <v>7</v>
      </c>
      <c r="I47" s="127">
        <v>0</v>
      </c>
      <c r="J47" s="116">
        <v>0.5</v>
      </c>
      <c r="K47" s="116">
        <v>3</v>
      </c>
      <c r="L47" s="116">
        <v>5</v>
      </c>
      <c r="M47" s="116">
        <v>3.5</v>
      </c>
      <c r="N47" s="121">
        <v>0</v>
      </c>
      <c r="O47" s="116">
        <v>0</v>
      </c>
      <c r="P47" s="116">
        <v>0</v>
      </c>
      <c r="Q47" s="116">
        <v>0</v>
      </c>
      <c r="R47" s="116">
        <v>0</v>
      </c>
      <c r="S47" s="117">
        <v>0</v>
      </c>
      <c r="T47" s="116">
        <v>20</v>
      </c>
      <c r="U47" s="116">
        <v>0</v>
      </c>
      <c r="V47" s="116">
        <v>0</v>
      </c>
      <c r="W47" s="114">
        <v>0</v>
      </c>
      <c r="X47" s="125">
        <v>0</v>
      </c>
      <c r="Y47" s="208"/>
      <c r="Z47" s="209"/>
      <c r="AA47" s="209"/>
      <c r="AB47" s="209"/>
      <c r="AC47" s="209"/>
      <c r="AD47" s="209"/>
      <c r="AE47" s="210"/>
    </row>
    <row r="48" spans="1:31" ht="15" customHeight="1">
      <c r="A48" s="110">
        <v>38</v>
      </c>
      <c r="B48" s="111" t="s">
        <v>166</v>
      </c>
      <c r="C48" s="109" t="s">
        <v>167</v>
      </c>
      <c r="D48" s="51"/>
      <c r="E48" s="127">
        <v>0</v>
      </c>
      <c r="F48" s="127">
        <v>0</v>
      </c>
      <c r="G48" s="127">
        <v>6</v>
      </c>
      <c r="H48" s="127">
        <v>3</v>
      </c>
      <c r="I48" s="127">
        <v>0</v>
      </c>
      <c r="J48" s="116">
        <v>1.5</v>
      </c>
      <c r="K48" s="116">
        <v>4.5</v>
      </c>
      <c r="L48" s="116">
        <v>7</v>
      </c>
      <c r="M48" s="116">
        <v>1</v>
      </c>
      <c r="N48" s="121">
        <v>0</v>
      </c>
      <c r="O48" s="116">
        <v>0</v>
      </c>
      <c r="P48" s="116">
        <v>0</v>
      </c>
      <c r="Q48" s="116">
        <v>0</v>
      </c>
      <c r="R48" s="116">
        <v>0</v>
      </c>
      <c r="S48" s="117">
        <v>0</v>
      </c>
      <c r="T48" s="116">
        <v>20</v>
      </c>
      <c r="U48" s="116">
        <v>0</v>
      </c>
      <c r="V48" s="116">
        <v>0</v>
      </c>
      <c r="W48" s="116">
        <v>0</v>
      </c>
      <c r="X48" s="125">
        <v>0</v>
      </c>
      <c r="Y48" s="208"/>
      <c r="Z48" s="209"/>
      <c r="AA48" s="209"/>
      <c r="AB48" s="209"/>
      <c r="AC48" s="209"/>
      <c r="AD48" s="209"/>
      <c r="AE48" s="210"/>
    </row>
    <row r="49" spans="1:31" ht="15" customHeight="1">
      <c r="A49" s="110">
        <v>39</v>
      </c>
      <c r="B49" s="111" t="s">
        <v>168</v>
      </c>
      <c r="C49" s="109" t="s">
        <v>169</v>
      </c>
      <c r="D49" s="51"/>
      <c r="E49" s="127">
        <v>0</v>
      </c>
      <c r="F49" s="127">
        <v>0</v>
      </c>
      <c r="G49" s="127">
        <v>7</v>
      </c>
      <c r="H49" s="127">
        <v>8</v>
      </c>
      <c r="I49" s="127">
        <v>0</v>
      </c>
      <c r="J49" s="116">
        <v>1</v>
      </c>
      <c r="K49" s="116">
        <v>6.5</v>
      </c>
      <c r="L49" s="116">
        <v>5</v>
      </c>
      <c r="M49" s="116">
        <v>2.5</v>
      </c>
      <c r="N49" s="121">
        <v>0</v>
      </c>
      <c r="O49" s="116">
        <v>0</v>
      </c>
      <c r="P49" s="116">
        <v>0</v>
      </c>
      <c r="Q49" s="116">
        <v>0</v>
      </c>
      <c r="R49" s="116">
        <v>0</v>
      </c>
      <c r="S49" s="117">
        <v>0</v>
      </c>
      <c r="T49" s="116">
        <v>22</v>
      </c>
      <c r="U49" s="116">
        <v>0</v>
      </c>
      <c r="V49" s="116">
        <v>0</v>
      </c>
      <c r="W49" s="114">
        <v>0</v>
      </c>
      <c r="X49" s="125">
        <v>0</v>
      </c>
      <c r="Y49" s="208"/>
      <c r="Z49" s="209"/>
      <c r="AA49" s="209"/>
      <c r="AB49" s="209"/>
      <c r="AC49" s="209"/>
      <c r="AD49" s="209"/>
      <c r="AE49" s="210"/>
    </row>
    <row r="50" spans="1:31" ht="15" customHeight="1">
      <c r="A50" s="110">
        <v>40</v>
      </c>
      <c r="B50" s="111" t="s">
        <v>170</v>
      </c>
      <c r="C50" s="109" t="s">
        <v>171</v>
      </c>
      <c r="D50" s="51"/>
      <c r="E50" s="127">
        <v>0</v>
      </c>
      <c r="F50" s="127">
        <v>0</v>
      </c>
      <c r="G50" s="127">
        <v>7</v>
      </c>
      <c r="H50" s="127">
        <v>3.5</v>
      </c>
      <c r="I50" s="127">
        <v>0</v>
      </c>
      <c r="J50" s="116">
        <v>1</v>
      </c>
      <c r="K50" s="116">
        <v>4.5</v>
      </c>
      <c r="L50" s="116">
        <v>5</v>
      </c>
      <c r="M50" s="116">
        <v>9</v>
      </c>
      <c r="N50" s="121">
        <v>0</v>
      </c>
      <c r="O50" s="116">
        <v>0</v>
      </c>
      <c r="P50" s="116">
        <v>0</v>
      </c>
      <c r="Q50" s="116">
        <v>0</v>
      </c>
      <c r="R50" s="116">
        <v>0</v>
      </c>
      <c r="S50" s="117">
        <v>0</v>
      </c>
      <c r="T50" s="116">
        <v>22</v>
      </c>
      <c r="U50" s="116">
        <v>0</v>
      </c>
      <c r="V50" s="116">
        <v>0</v>
      </c>
      <c r="W50" s="116">
        <v>0</v>
      </c>
      <c r="X50" s="125">
        <v>0</v>
      </c>
      <c r="Y50" s="208"/>
      <c r="Z50" s="209"/>
      <c r="AA50" s="209"/>
      <c r="AB50" s="209"/>
      <c r="AC50" s="209"/>
      <c r="AD50" s="209"/>
      <c r="AE50" s="210"/>
    </row>
    <row r="51" spans="1:31" ht="15" customHeight="1">
      <c r="A51" s="110">
        <v>41</v>
      </c>
      <c r="B51" s="111" t="s">
        <v>172</v>
      </c>
      <c r="C51" s="109" t="s">
        <v>173</v>
      </c>
      <c r="D51" s="51"/>
      <c r="E51" s="127">
        <v>0</v>
      </c>
      <c r="F51" s="127">
        <v>0</v>
      </c>
      <c r="G51" s="127">
        <v>7</v>
      </c>
      <c r="H51" s="127">
        <v>0</v>
      </c>
      <c r="I51" s="127">
        <v>0</v>
      </c>
      <c r="J51" s="116">
        <v>2</v>
      </c>
      <c r="K51" s="116">
        <v>5.5</v>
      </c>
      <c r="L51" s="116">
        <v>7.5</v>
      </c>
      <c r="M51" s="116">
        <v>3</v>
      </c>
      <c r="N51" s="121">
        <v>0</v>
      </c>
      <c r="O51" s="116">
        <v>0</v>
      </c>
      <c r="P51" s="116">
        <v>0</v>
      </c>
      <c r="Q51" s="116">
        <v>0</v>
      </c>
      <c r="R51" s="116">
        <v>0</v>
      </c>
      <c r="S51" s="117">
        <v>0</v>
      </c>
      <c r="T51" s="116">
        <v>16</v>
      </c>
      <c r="U51" s="116">
        <v>0</v>
      </c>
      <c r="V51" s="116">
        <v>0</v>
      </c>
      <c r="W51" s="114">
        <v>0</v>
      </c>
      <c r="X51" s="125">
        <v>0</v>
      </c>
      <c r="Y51" s="208"/>
      <c r="Z51" s="209"/>
      <c r="AA51" s="209"/>
      <c r="AB51" s="209"/>
      <c r="AC51" s="209"/>
      <c r="AD51" s="209"/>
      <c r="AE51" s="210"/>
    </row>
    <row r="52" spans="1:31" ht="15" customHeight="1">
      <c r="A52" s="110">
        <v>42</v>
      </c>
      <c r="B52" s="111" t="s">
        <v>174</v>
      </c>
      <c r="C52" s="109" t="s">
        <v>175</v>
      </c>
      <c r="D52" s="51"/>
      <c r="E52" s="127">
        <v>0</v>
      </c>
      <c r="F52" s="127">
        <v>1</v>
      </c>
      <c r="G52" s="127">
        <v>8</v>
      </c>
      <c r="H52" s="127">
        <v>24</v>
      </c>
      <c r="I52" s="127">
        <v>0</v>
      </c>
      <c r="J52" s="116">
        <v>2</v>
      </c>
      <c r="K52" s="116">
        <v>10</v>
      </c>
      <c r="L52" s="116">
        <v>7</v>
      </c>
      <c r="M52" s="116">
        <v>5</v>
      </c>
      <c r="N52" s="121">
        <v>0</v>
      </c>
      <c r="O52" s="116">
        <v>0</v>
      </c>
      <c r="P52" s="116">
        <v>0</v>
      </c>
      <c r="Q52" s="116">
        <v>0</v>
      </c>
      <c r="R52" s="116">
        <v>0</v>
      </c>
      <c r="S52" s="117">
        <v>0</v>
      </c>
      <c r="T52" s="116">
        <v>21</v>
      </c>
      <c r="U52" s="116">
        <v>0</v>
      </c>
      <c r="V52" s="116">
        <v>0</v>
      </c>
      <c r="W52" s="116">
        <v>0</v>
      </c>
      <c r="X52" s="125">
        <v>0</v>
      </c>
      <c r="Y52" s="208"/>
      <c r="Z52" s="209"/>
      <c r="AA52" s="209"/>
      <c r="AB52" s="209"/>
      <c r="AC52" s="209"/>
      <c r="AD52" s="209"/>
      <c r="AE52" s="210"/>
    </row>
    <row r="53" spans="1:31" ht="15" customHeight="1">
      <c r="A53" s="110">
        <v>43</v>
      </c>
      <c r="B53" s="111" t="s">
        <v>176</v>
      </c>
      <c r="C53" s="109" t="s">
        <v>177</v>
      </c>
      <c r="D53" s="51"/>
      <c r="E53" s="127">
        <v>0</v>
      </c>
      <c r="F53" s="127">
        <v>0</v>
      </c>
      <c r="G53" s="127">
        <v>7</v>
      </c>
      <c r="H53" s="127">
        <v>16.5</v>
      </c>
      <c r="I53" s="127">
        <v>0</v>
      </c>
      <c r="J53" s="116">
        <v>2.5</v>
      </c>
      <c r="K53" s="116">
        <v>8.5</v>
      </c>
      <c r="L53" s="116">
        <v>6</v>
      </c>
      <c r="M53" s="116">
        <v>4</v>
      </c>
      <c r="N53" s="121">
        <v>0</v>
      </c>
      <c r="O53" s="116">
        <v>0</v>
      </c>
      <c r="P53" s="116">
        <v>0</v>
      </c>
      <c r="Q53" s="116">
        <v>0</v>
      </c>
      <c r="R53" s="116">
        <v>0</v>
      </c>
      <c r="S53" s="117">
        <v>0</v>
      </c>
      <c r="T53" s="116">
        <v>21</v>
      </c>
      <c r="U53" s="116">
        <v>0</v>
      </c>
      <c r="V53" s="116">
        <v>0</v>
      </c>
      <c r="W53" s="114">
        <v>0</v>
      </c>
      <c r="X53" s="125">
        <v>0</v>
      </c>
      <c r="Y53" s="208"/>
      <c r="Z53" s="209"/>
      <c r="AA53" s="209"/>
      <c r="AB53" s="209"/>
      <c r="AC53" s="209"/>
      <c r="AD53" s="209"/>
      <c r="AE53" s="210"/>
    </row>
    <row r="54" spans="1:31" ht="15" customHeight="1">
      <c r="A54" s="110">
        <v>44</v>
      </c>
      <c r="B54" s="111" t="s">
        <v>178</v>
      </c>
      <c r="C54" s="109" t="s">
        <v>179</v>
      </c>
      <c r="D54" s="51"/>
      <c r="E54" s="127">
        <v>0</v>
      </c>
      <c r="F54" s="127">
        <v>0</v>
      </c>
      <c r="G54" s="127">
        <v>7</v>
      </c>
      <c r="H54" s="127">
        <v>2</v>
      </c>
      <c r="I54" s="127">
        <v>0</v>
      </c>
      <c r="J54" s="116">
        <v>4.5</v>
      </c>
      <c r="K54" s="116">
        <v>5.5</v>
      </c>
      <c r="L54" s="116">
        <v>5</v>
      </c>
      <c r="M54" s="116">
        <v>3</v>
      </c>
      <c r="N54" s="121">
        <v>0</v>
      </c>
      <c r="O54" s="116">
        <v>0</v>
      </c>
      <c r="P54" s="116">
        <v>0</v>
      </c>
      <c r="Q54" s="116">
        <v>0</v>
      </c>
      <c r="R54" s="116">
        <v>0</v>
      </c>
      <c r="S54" s="117">
        <v>0</v>
      </c>
      <c r="T54" s="116">
        <v>20</v>
      </c>
      <c r="U54" s="116">
        <v>0</v>
      </c>
      <c r="V54" s="116">
        <v>0</v>
      </c>
      <c r="W54" s="116">
        <v>0</v>
      </c>
      <c r="X54" s="125">
        <v>0</v>
      </c>
      <c r="Y54" s="208"/>
      <c r="Z54" s="209"/>
      <c r="AA54" s="209"/>
      <c r="AB54" s="209"/>
      <c r="AC54" s="209"/>
      <c r="AD54" s="209"/>
      <c r="AE54" s="210"/>
    </row>
    <row r="55" spans="1:31" ht="15" customHeight="1">
      <c r="A55" s="110">
        <v>45</v>
      </c>
      <c r="B55" s="111" t="s">
        <v>180</v>
      </c>
      <c r="C55" s="109" t="s">
        <v>181</v>
      </c>
      <c r="D55" s="51"/>
      <c r="E55" s="127">
        <v>0</v>
      </c>
      <c r="F55" s="127">
        <v>0</v>
      </c>
      <c r="G55" s="127">
        <v>6</v>
      </c>
      <c r="H55" s="127">
        <v>10</v>
      </c>
      <c r="I55" s="127">
        <v>0</v>
      </c>
      <c r="J55" s="116">
        <v>4.5</v>
      </c>
      <c r="K55" s="116">
        <v>6</v>
      </c>
      <c r="L55" s="116">
        <v>7</v>
      </c>
      <c r="M55" s="116">
        <v>4.5</v>
      </c>
      <c r="N55" s="121">
        <v>0</v>
      </c>
      <c r="O55" s="116">
        <v>0</v>
      </c>
      <c r="P55" s="116">
        <v>0</v>
      </c>
      <c r="Q55" s="116">
        <v>0</v>
      </c>
      <c r="R55" s="116">
        <v>0</v>
      </c>
      <c r="S55" s="117">
        <v>0</v>
      </c>
      <c r="T55" s="116">
        <v>20</v>
      </c>
      <c r="U55" s="116">
        <v>0</v>
      </c>
      <c r="V55" s="116">
        <v>0</v>
      </c>
      <c r="W55" s="114">
        <v>0</v>
      </c>
      <c r="X55" s="125">
        <v>0</v>
      </c>
      <c r="Y55" s="208"/>
      <c r="Z55" s="209"/>
      <c r="AA55" s="209"/>
      <c r="AB55" s="209"/>
      <c r="AC55" s="209"/>
      <c r="AD55" s="209"/>
      <c r="AE55" s="210"/>
    </row>
    <row r="56" spans="1:31" ht="15" customHeight="1">
      <c r="A56" s="110">
        <v>46</v>
      </c>
      <c r="B56" s="111" t="s">
        <v>182</v>
      </c>
      <c r="C56" s="109" t="s">
        <v>183</v>
      </c>
      <c r="D56" s="51"/>
      <c r="E56" s="127">
        <v>0</v>
      </c>
      <c r="F56" s="127">
        <v>1</v>
      </c>
      <c r="G56" s="127">
        <v>11</v>
      </c>
      <c r="H56" s="127">
        <v>4</v>
      </c>
      <c r="I56" s="127">
        <v>0</v>
      </c>
      <c r="J56" s="116">
        <v>2.5</v>
      </c>
      <c r="K56" s="116">
        <v>1.5</v>
      </c>
      <c r="L56" s="116">
        <v>4</v>
      </c>
      <c r="M56" s="116">
        <v>5</v>
      </c>
      <c r="N56" s="121">
        <v>0</v>
      </c>
      <c r="O56" s="116">
        <v>0</v>
      </c>
      <c r="P56" s="116">
        <v>0</v>
      </c>
      <c r="Q56" s="116">
        <v>0</v>
      </c>
      <c r="R56" s="116">
        <v>0</v>
      </c>
      <c r="S56" s="117">
        <v>0</v>
      </c>
      <c r="T56" s="116">
        <v>15</v>
      </c>
      <c r="U56" s="116">
        <v>0</v>
      </c>
      <c r="V56" s="116">
        <v>0</v>
      </c>
      <c r="W56" s="116">
        <v>0</v>
      </c>
      <c r="X56" s="125">
        <v>0</v>
      </c>
      <c r="Y56" s="208"/>
      <c r="Z56" s="209"/>
      <c r="AA56" s="209"/>
      <c r="AB56" s="209"/>
      <c r="AC56" s="209"/>
      <c r="AD56" s="209"/>
      <c r="AE56" s="210"/>
    </row>
    <row r="57" spans="1:31" ht="15" customHeight="1">
      <c r="A57" s="110">
        <v>47</v>
      </c>
      <c r="B57" s="111" t="s">
        <v>184</v>
      </c>
      <c r="C57" s="109" t="s">
        <v>185</v>
      </c>
      <c r="D57" s="51"/>
      <c r="E57" s="127">
        <v>0</v>
      </c>
      <c r="F57" s="127">
        <v>0</v>
      </c>
      <c r="G57" s="127">
        <v>11</v>
      </c>
      <c r="H57" s="127">
        <v>15.5</v>
      </c>
      <c r="I57" s="127">
        <v>0</v>
      </c>
      <c r="J57" s="116">
        <v>0.5</v>
      </c>
      <c r="K57" s="116">
        <v>9.5</v>
      </c>
      <c r="L57" s="116">
        <v>9</v>
      </c>
      <c r="M57" s="116">
        <v>8.5</v>
      </c>
      <c r="N57" s="121">
        <v>0</v>
      </c>
      <c r="O57" s="116">
        <v>0</v>
      </c>
      <c r="P57" s="116">
        <v>0</v>
      </c>
      <c r="Q57" s="116">
        <v>0</v>
      </c>
      <c r="R57" s="116">
        <v>0</v>
      </c>
      <c r="S57" s="117">
        <v>0</v>
      </c>
      <c r="T57" s="116">
        <v>21</v>
      </c>
      <c r="U57" s="116">
        <v>0</v>
      </c>
      <c r="V57" s="116">
        <v>0</v>
      </c>
      <c r="W57" s="116">
        <v>0</v>
      </c>
      <c r="X57" s="125">
        <v>0</v>
      </c>
      <c r="Y57" s="208"/>
      <c r="Z57" s="209"/>
      <c r="AA57" s="209"/>
      <c r="AB57" s="209"/>
      <c r="AC57" s="209"/>
      <c r="AD57" s="209"/>
      <c r="AE57" s="210"/>
    </row>
    <row r="58" spans="1:31" ht="15" customHeight="1">
      <c r="A58" s="110">
        <v>48</v>
      </c>
      <c r="B58" s="111" t="s">
        <v>186</v>
      </c>
      <c r="C58" s="109" t="s">
        <v>187</v>
      </c>
      <c r="D58" s="51"/>
      <c r="E58" s="127">
        <v>0</v>
      </c>
      <c r="F58" s="127">
        <v>7</v>
      </c>
      <c r="G58" s="127">
        <v>9</v>
      </c>
      <c r="H58" s="127">
        <v>17</v>
      </c>
      <c r="I58" s="127">
        <v>0</v>
      </c>
      <c r="J58" s="116">
        <v>2.5</v>
      </c>
      <c r="K58" s="116">
        <v>10</v>
      </c>
      <c r="L58" s="116">
        <v>8</v>
      </c>
      <c r="M58" s="116">
        <v>8</v>
      </c>
      <c r="N58" s="121">
        <v>0</v>
      </c>
      <c r="O58" s="116">
        <v>0</v>
      </c>
      <c r="P58" s="116">
        <v>0</v>
      </c>
      <c r="Q58" s="116">
        <v>0</v>
      </c>
      <c r="R58" s="116">
        <v>0</v>
      </c>
      <c r="S58" s="117">
        <v>0</v>
      </c>
      <c r="T58" s="116">
        <v>19</v>
      </c>
      <c r="U58" s="116">
        <v>0</v>
      </c>
      <c r="V58" s="116">
        <v>0</v>
      </c>
      <c r="W58" s="116">
        <v>0</v>
      </c>
      <c r="X58" s="125">
        <v>0</v>
      </c>
      <c r="Y58" s="208"/>
      <c r="Z58" s="209"/>
      <c r="AA58" s="209"/>
      <c r="AB58" s="209"/>
      <c r="AC58" s="209"/>
      <c r="AD58" s="209"/>
      <c r="AE58" s="210"/>
    </row>
    <row r="59" spans="1:31" ht="15" customHeight="1">
      <c r="A59" s="110">
        <v>49</v>
      </c>
      <c r="B59" s="111" t="s">
        <v>188</v>
      </c>
      <c r="C59" s="109" t="s">
        <v>189</v>
      </c>
      <c r="D59" s="51"/>
      <c r="E59" s="127">
        <v>0</v>
      </c>
      <c r="F59" s="127">
        <v>0</v>
      </c>
      <c r="G59" s="127">
        <v>11</v>
      </c>
      <c r="H59" s="127">
        <v>6.5</v>
      </c>
      <c r="I59" s="127">
        <v>0</v>
      </c>
      <c r="J59" s="116">
        <v>1.5</v>
      </c>
      <c r="K59" s="116">
        <v>5</v>
      </c>
      <c r="L59" s="116">
        <v>6</v>
      </c>
      <c r="M59" s="116">
        <v>2.5</v>
      </c>
      <c r="N59" s="121">
        <v>0</v>
      </c>
      <c r="O59" s="116">
        <v>0</v>
      </c>
      <c r="P59" s="116">
        <v>0</v>
      </c>
      <c r="Q59" s="116">
        <v>0</v>
      </c>
      <c r="R59" s="116">
        <v>0</v>
      </c>
      <c r="S59" s="117">
        <v>0</v>
      </c>
      <c r="T59" s="116">
        <v>18</v>
      </c>
      <c r="U59" s="116">
        <v>0</v>
      </c>
      <c r="V59" s="116">
        <v>0</v>
      </c>
      <c r="W59" s="116">
        <v>0</v>
      </c>
      <c r="X59" s="125">
        <v>0</v>
      </c>
      <c r="Y59" s="208"/>
      <c r="Z59" s="209"/>
      <c r="AA59" s="209"/>
      <c r="AB59" s="209"/>
      <c r="AC59" s="209"/>
      <c r="AD59" s="209"/>
      <c r="AE59" s="210"/>
    </row>
    <row r="60" spans="1:31" ht="15" customHeight="1">
      <c r="A60" s="110">
        <v>50</v>
      </c>
      <c r="B60" s="111" t="s">
        <v>190</v>
      </c>
      <c r="C60" s="109" t="s">
        <v>191</v>
      </c>
      <c r="D60" s="51"/>
      <c r="E60" s="127">
        <v>0</v>
      </c>
      <c r="F60" s="127">
        <v>3</v>
      </c>
      <c r="G60" s="127">
        <v>15</v>
      </c>
      <c r="H60" s="127">
        <v>31</v>
      </c>
      <c r="I60" s="127">
        <v>0</v>
      </c>
      <c r="J60" s="116">
        <v>2.5</v>
      </c>
      <c r="K60" s="116">
        <v>10</v>
      </c>
      <c r="L60" s="116">
        <v>9</v>
      </c>
      <c r="M60" s="116">
        <v>9.5</v>
      </c>
      <c r="N60" s="121">
        <v>0</v>
      </c>
      <c r="O60" s="116">
        <v>0</v>
      </c>
      <c r="P60" s="116">
        <v>0</v>
      </c>
      <c r="Q60" s="116">
        <v>0</v>
      </c>
      <c r="R60" s="116">
        <v>0</v>
      </c>
      <c r="S60" s="117">
        <v>0</v>
      </c>
      <c r="T60" s="116">
        <v>19</v>
      </c>
      <c r="U60" s="116">
        <v>0</v>
      </c>
      <c r="V60" s="116">
        <v>0</v>
      </c>
      <c r="W60" s="116">
        <v>0</v>
      </c>
      <c r="X60" s="125">
        <v>0</v>
      </c>
      <c r="Y60" s="208"/>
      <c r="Z60" s="209"/>
      <c r="AA60" s="209"/>
      <c r="AB60" s="209"/>
      <c r="AC60" s="209"/>
      <c r="AD60" s="209"/>
      <c r="AE60" s="210"/>
    </row>
    <row r="61" spans="1:31" ht="15" customHeight="1">
      <c r="A61" s="110">
        <v>51</v>
      </c>
      <c r="B61" s="111" t="s">
        <v>192</v>
      </c>
      <c r="C61" s="109" t="s">
        <v>193</v>
      </c>
      <c r="D61" s="51"/>
      <c r="E61" s="127">
        <v>0</v>
      </c>
      <c r="F61" s="127">
        <v>0</v>
      </c>
      <c r="G61" s="127">
        <v>14</v>
      </c>
      <c r="H61" s="127">
        <v>8</v>
      </c>
      <c r="I61" s="127">
        <v>0</v>
      </c>
      <c r="J61" s="116">
        <v>2.5</v>
      </c>
      <c r="K61" s="116">
        <v>6</v>
      </c>
      <c r="L61" s="116">
        <v>6</v>
      </c>
      <c r="M61" s="116">
        <v>3.5</v>
      </c>
      <c r="N61" s="121">
        <v>0</v>
      </c>
      <c r="O61" s="116">
        <v>0</v>
      </c>
      <c r="P61" s="116">
        <v>0</v>
      </c>
      <c r="Q61" s="116">
        <v>0</v>
      </c>
      <c r="R61" s="116">
        <v>0</v>
      </c>
      <c r="S61" s="117">
        <v>0</v>
      </c>
      <c r="T61" s="116">
        <v>21</v>
      </c>
      <c r="U61" s="116">
        <v>0</v>
      </c>
      <c r="V61" s="116">
        <v>0</v>
      </c>
      <c r="W61" s="116">
        <v>0</v>
      </c>
      <c r="X61" s="125">
        <v>0</v>
      </c>
      <c r="Y61" s="208"/>
      <c r="Z61" s="209"/>
      <c r="AA61" s="209"/>
      <c r="AB61" s="209"/>
      <c r="AC61" s="209"/>
      <c r="AD61" s="209"/>
      <c r="AE61" s="210"/>
    </row>
    <row r="62" spans="1:31" ht="15" customHeight="1">
      <c r="A62" s="110">
        <v>52</v>
      </c>
      <c r="B62" s="111" t="s">
        <v>194</v>
      </c>
      <c r="C62" s="109" t="s">
        <v>195</v>
      </c>
      <c r="D62" s="51"/>
      <c r="E62" s="127">
        <v>0</v>
      </c>
      <c r="F62" s="127">
        <v>0</v>
      </c>
      <c r="G62" s="127">
        <v>6</v>
      </c>
      <c r="H62" s="127">
        <v>11</v>
      </c>
      <c r="I62" s="127">
        <v>0</v>
      </c>
      <c r="J62" s="116">
        <v>0.5</v>
      </c>
      <c r="K62" s="116">
        <v>3.5</v>
      </c>
      <c r="L62" s="116">
        <v>5</v>
      </c>
      <c r="M62" s="116">
        <v>2.5</v>
      </c>
      <c r="N62" s="121">
        <v>0</v>
      </c>
      <c r="O62" s="116">
        <v>0</v>
      </c>
      <c r="P62" s="116">
        <v>0</v>
      </c>
      <c r="Q62" s="116">
        <v>0</v>
      </c>
      <c r="R62" s="116">
        <v>0</v>
      </c>
      <c r="S62" s="117">
        <v>0</v>
      </c>
      <c r="T62" s="116">
        <v>20</v>
      </c>
      <c r="U62" s="116">
        <v>0</v>
      </c>
      <c r="V62" s="116">
        <v>0</v>
      </c>
      <c r="W62" s="116">
        <v>0</v>
      </c>
      <c r="X62" s="125">
        <v>0</v>
      </c>
      <c r="Y62" s="208"/>
      <c r="Z62" s="209"/>
      <c r="AA62" s="209"/>
      <c r="AB62" s="209"/>
      <c r="AC62" s="209"/>
      <c r="AD62" s="209"/>
      <c r="AE62" s="210"/>
    </row>
    <row r="63" spans="1:31" ht="15" customHeight="1">
      <c r="A63" s="110">
        <v>53</v>
      </c>
      <c r="B63" s="111" t="s">
        <v>196</v>
      </c>
      <c r="C63" s="109" t="s">
        <v>197</v>
      </c>
      <c r="D63" s="51"/>
      <c r="E63" s="127">
        <v>0</v>
      </c>
      <c r="F63" s="127">
        <v>1</v>
      </c>
      <c r="G63" s="127">
        <v>12</v>
      </c>
      <c r="H63" s="127">
        <v>5</v>
      </c>
      <c r="I63" s="127">
        <v>0</v>
      </c>
      <c r="J63" s="116">
        <v>1</v>
      </c>
      <c r="K63" s="116">
        <v>10</v>
      </c>
      <c r="L63" s="116">
        <v>6</v>
      </c>
      <c r="M63" s="116">
        <v>4.5</v>
      </c>
      <c r="N63" s="121">
        <v>0</v>
      </c>
      <c r="O63" s="116">
        <v>0</v>
      </c>
      <c r="P63" s="116">
        <v>0</v>
      </c>
      <c r="Q63" s="116">
        <v>0</v>
      </c>
      <c r="R63" s="116">
        <v>0</v>
      </c>
      <c r="S63" s="117">
        <v>0</v>
      </c>
      <c r="T63" s="116">
        <v>18</v>
      </c>
      <c r="U63" s="116">
        <v>0</v>
      </c>
      <c r="V63" s="116">
        <v>0</v>
      </c>
      <c r="W63" s="116">
        <v>0</v>
      </c>
      <c r="X63" s="125">
        <v>0</v>
      </c>
      <c r="Y63" s="208"/>
      <c r="Z63" s="209"/>
      <c r="AA63" s="209"/>
      <c r="AB63" s="209"/>
      <c r="AC63" s="209"/>
      <c r="AD63" s="209"/>
      <c r="AE63" s="210"/>
    </row>
    <row r="64" spans="1:31" ht="15" customHeight="1">
      <c r="A64" s="110">
        <v>54</v>
      </c>
      <c r="B64" s="111" t="s">
        <v>198</v>
      </c>
      <c r="C64" s="109" t="s">
        <v>199</v>
      </c>
      <c r="D64" s="51"/>
      <c r="E64" s="127">
        <v>0</v>
      </c>
      <c r="F64" s="127">
        <v>1</v>
      </c>
      <c r="G64" s="127">
        <v>9</v>
      </c>
      <c r="H64" s="127">
        <v>7</v>
      </c>
      <c r="I64" s="127">
        <v>0</v>
      </c>
      <c r="J64" s="116">
        <v>0</v>
      </c>
      <c r="K64" s="116">
        <v>6</v>
      </c>
      <c r="L64" s="116">
        <v>8</v>
      </c>
      <c r="M64" s="116">
        <v>7.5</v>
      </c>
      <c r="N64" s="121">
        <v>0</v>
      </c>
      <c r="O64" s="116">
        <v>0</v>
      </c>
      <c r="P64" s="116">
        <v>0</v>
      </c>
      <c r="Q64" s="116">
        <v>0</v>
      </c>
      <c r="R64" s="116">
        <v>0</v>
      </c>
      <c r="S64" s="117">
        <v>0</v>
      </c>
      <c r="T64" s="116">
        <v>19</v>
      </c>
      <c r="U64" s="116">
        <v>0</v>
      </c>
      <c r="V64" s="116">
        <v>0</v>
      </c>
      <c r="W64" s="116">
        <v>0</v>
      </c>
      <c r="X64" s="125">
        <v>0</v>
      </c>
      <c r="Y64" s="208"/>
      <c r="Z64" s="209"/>
      <c r="AA64" s="209"/>
      <c r="AB64" s="209"/>
      <c r="AC64" s="209"/>
      <c r="AD64" s="209"/>
      <c r="AE64" s="210"/>
    </row>
    <row r="65" spans="1:31" ht="15" customHeight="1">
      <c r="A65" s="110">
        <v>55</v>
      </c>
      <c r="B65" s="111" t="s">
        <v>200</v>
      </c>
      <c r="C65" s="109" t="s">
        <v>201</v>
      </c>
      <c r="D65" s="51"/>
      <c r="E65" s="127">
        <v>0</v>
      </c>
      <c r="F65" s="127">
        <v>0</v>
      </c>
      <c r="G65" s="127">
        <v>7</v>
      </c>
      <c r="H65" s="127">
        <v>4</v>
      </c>
      <c r="I65" s="127">
        <v>0</v>
      </c>
      <c r="J65" s="116">
        <v>1</v>
      </c>
      <c r="K65" s="116">
        <v>0</v>
      </c>
      <c r="L65" s="116">
        <v>6</v>
      </c>
      <c r="M65" s="116">
        <v>0</v>
      </c>
      <c r="N65" s="121">
        <v>0</v>
      </c>
      <c r="O65" s="116">
        <v>0</v>
      </c>
      <c r="P65" s="116">
        <v>0</v>
      </c>
      <c r="Q65" s="116">
        <v>0</v>
      </c>
      <c r="R65" s="116">
        <v>0</v>
      </c>
      <c r="S65" s="117">
        <v>0</v>
      </c>
      <c r="T65" s="116">
        <v>17</v>
      </c>
      <c r="U65" s="116">
        <v>0</v>
      </c>
      <c r="V65" s="116">
        <v>0</v>
      </c>
      <c r="W65" s="116">
        <v>0</v>
      </c>
      <c r="X65" s="125">
        <v>0</v>
      </c>
      <c r="Y65" s="208"/>
      <c r="Z65" s="209"/>
      <c r="AA65" s="209"/>
      <c r="AB65" s="209"/>
      <c r="AC65" s="209"/>
      <c r="AD65" s="209"/>
      <c r="AE65" s="210"/>
    </row>
    <row r="66" spans="1:31" ht="15" customHeight="1">
      <c r="A66" s="110">
        <v>56</v>
      </c>
      <c r="B66" s="111" t="s">
        <v>202</v>
      </c>
      <c r="C66" s="109" t="s">
        <v>203</v>
      </c>
      <c r="D66" s="51"/>
      <c r="E66" s="127">
        <v>0</v>
      </c>
      <c r="F66" s="127">
        <v>0</v>
      </c>
      <c r="G66" s="127">
        <v>7</v>
      </c>
      <c r="H66" s="127">
        <v>8</v>
      </c>
      <c r="I66" s="127">
        <v>0</v>
      </c>
      <c r="J66" s="116">
        <v>0</v>
      </c>
      <c r="K66" s="116">
        <v>1.5</v>
      </c>
      <c r="L66" s="116">
        <v>6</v>
      </c>
      <c r="M66" s="116">
        <v>2</v>
      </c>
      <c r="N66" s="121">
        <v>0</v>
      </c>
      <c r="O66" s="116">
        <v>0</v>
      </c>
      <c r="P66" s="116">
        <v>0</v>
      </c>
      <c r="Q66" s="116">
        <v>0</v>
      </c>
      <c r="R66" s="116">
        <v>0</v>
      </c>
      <c r="S66" s="117">
        <v>0</v>
      </c>
      <c r="T66" s="116">
        <v>18</v>
      </c>
      <c r="U66" s="116">
        <v>0</v>
      </c>
      <c r="V66" s="116">
        <v>0</v>
      </c>
      <c r="W66" s="116">
        <v>0</v>
      </c>
      <c r="X66" s="125">
        <v>0</v>
      </c>
      <c r="Y66" s="208"/>
      <c r="Z66" s="209"/>
      <c r="AA66" s="209"/>
      <c r="AB66" s="209"/>
      <c r="AC66" s="209"/>
      <c r="AD66" s="209"/>
      <c r="AE66" s="210"/>
    </row>
    <row r="67" spans="1:31" ht="15" customHeight="1">
      <c r="A67" s="110">
        <v>57</v>
      </c>
      <c r="B67" s="111" t="s">
        <v>204</v>
      </c>
      <c r="C67" s="109" t="s">
        <v>205</v>
      </c>
      <c r="D67" s="51"/>
      <c r="E67" s="127">
        <v>0</v>
      </c>
      <c r="F67" s="127">
        <v>0</v>
      </c>
      <c r="G67" s="127">
        <v>10</v>
      </c>
      <c r="H67" s="127">
        <v>13</v>
      </c>
      <c r="I67" s="127">
        <v>0</v>
      </c>
      <c r="J67" s="116">
        <v>4.5</v>
      </c>
      <c r="K67" s="116">
        <v>6.5</v>
      </c>
      <c r="L67" s="116">
        <v>7</v>
      </c>
      <c r="M67" s="116">
        <v>3</v>
      </c>
      <c r="N67" s="121">
        <v>0</v>
      </c>
      <c r="O67" s="116">
        <v>0</v>
      </c>
      <c r="P67" s="116">
        <v>0</v>
      </c>
      <c r="Q67" s="116">
        <v>0</v>
      </c>
      <c r="R67" s="116">
        <v>0</v>
      </c>
      <c r="S67" s="117">
        <v>0</v>
      </c>
      <c r="T67" s="116">
        <v>20</v>
      </c>
      <c r="U67" s="116">
        <v>0</v>
      </c>
      <c r="V67" s="116">
        <v>0</v>
      </c>
      <c r="W67" s="116">
        <v>0</v>
      </c>
      <c r="X67" s="125">
        <v>0</v>
      </c>
      <c r="Y67" s="208"/>
      <c r="Z67" s="209"/>
      <c r="AA67" s="209"/>
      <c r="AB67" s="209"/>
      <c r="AC67" s="209"/>
      <c r="AD67" s="209"/>
      <c r="AE67" s="210"/>
    </row>
    <row r="68" spans="1:31" ht="15" customHeight="1">
      <c r="A68" s="110">
        <v>58</v>
      </c>
      <c r="B68" s="111" t="s">
        <v>206</v>
      </c>
      <c r="C68" s="109" t="s">
        <v>207</v>
      </c>
      <c r="D68" s="51"/>
      <c r="E68" s="127">
        <v>0</v>
      </c>
      <c r="F68" s="127">
        <v>0</v>
      </c>
      <c r="G68" s="127">
        <v>11</v>
      </c>
      <c r="H68" s="127">
        <v>10</v>
      </c>
      <c r="I68" s="127">
        <v>0</v>
      </c>
      <c r="J68" s="116">
        <v>0.5</v>
      </c>
      <c r="K68" s="116">
        <v>2.5</v>
      </c>
      <c r="L68" s="116">
        <v>5</v>
      </c>
      <c r="M68" s="116">
        <v>1</v>
      </c>
      <c r="N68" s="121">
        <v>0</v>
      </c>
      <c r="O68" s="116">
        <v>0</v>
      </c>
      <c r="P68" s="116">
        <v>0</v>
      </c>
      <c r="Q68" s="116">
        <v>0</v>
      </c>
      <c r="R68" s="116">
        <v>0</v>
      </c>
      <c r="S68" s="117">
        <v>0</v>
      </c>
      <c r="T68" s="116">
        <v>19</v>
      </c>
      <c r="U68" s="116">
        <v>0</v>
      </c>
      <c r="V68" s="116">
        <v>0</v>
      </c>
      <c r="W68" s="116">
        <v>0</v>
      </c>
      <c r="X68" s="125">
        <v>0</v>
      </c>
      <c r="Y68" s="208"/>
      <c r="Z68" s="209"/>
      <c r="AA68" s="209"/>
      <c r="AB68" s="209"/>
      <c r="AC68" s="209"/>
      <c r="AD68" s="209"/>
      <c r="AE68" s="210"/>
    </row>
    <row r="69" spans="1:31" ht="15" customHeight="1">
      <c r="A69" s="110">
        <v>59</v>
      </c>
      <c r="B69" s="111" t="s">
        <v>208</v>
      </c>
      <c r="C69" s="109" t="s">
        <v>209</v>
      </c>
      <c r="D69" s="51"/>
      <c r="E69" s="129">
        <v>0</v>
      </c>
      <c r="F69" s="129">
        <v>0</v>
      </c>
      <c r="G69" s="129">
        <v>10</v>
      </c>
      <c r="H69" s="129">
        <v>5</v>
      </c>
      <c r="I69" s="130">
        <v>0</v>
      </c>
      <c r="J69" s="116">
        <v>1</v>
      </c>
      <c r="K69" s="116">
        <v>2</v>
      </c>
      <c r="L69" s="116">
        <v>7</v>
      </c>
      <c r="M69" s="116">
        <v>2.5</v>
      </c>
      <c r="N69" s="121">
        <v>0</v>
      </c>
      <c r="O69" s="116">
        <v>0</v>
      </c>
      <c r="P69" s="116">
        <v>0</v>
      </c>
      <c r="Q69" s="116">
        <v>0</v>
      </c>
      <c r="R69" s="116">
        <v>0</v>
      </c>
      <c r="S69" s="117">
        <v>0</v>
      </c>
      <c r="T69" s="116">
        <v>19</v>
      </c>
      <c r="U69" s="116">
        <v>0</v>
      </c>
      <c r="V69" s="116">
        <v>0</v>
      </c>
      <c r="W69" s="116">
        <v>0</v>
      </c>
      <c r="X69" s="125">
        <v>0</v>
      </c>
      <c r="Y69" s="208"/>
      <c r="Z69" s="209"/>
      <c r="AA69" s="209"/>
      <c r="AB69" s="209"/>
      <c r="AC69" s="209"/>
      <c r="AD69" s="209"/>
      <c r="AE69" s="210"/>
    </row>
    <row r="70" spans="1:31" ht="15" customHeight="1">
      <c r="A70" s="110">
        <v>60</v>
      </c>
      <c r="B70" s="111" t="s">
        <v>210</v>
      </c>
      <c r="C70" s="109" t="s">
        <v>211</v>
      </c>
      <c r="D70" s="51"/>
      <c r="E70" s="129">
        <v>0</v>
      </c>
      <c r="F70" s="129">
        <v>0</v>
      </c>
      <c r="G70" s="129">
        <v>7</v>
      </c>
      <c r="H70" s="129">
        <v>3.5</v>
      </c>
      <c r="I70" s="130">
        <v>0</v>
      </c>
      <c r="J70" s="116">
        <v>2</v>
      </c>
      <c r="K70" s="116">
        <v>1</v>
      </c>
      <c r="L70" s="116">
        <v>4.5</v>
      </c>
      <c r="M70" s="116">
        <v>2.5</v>
      </c>
      <c r="N70" s="121">
        <v>0</v>
      </c>
      <c r="O70" s="116">
        <v>0</v>
      </c>
      <c r="P70" s="116">
        <v>0</v>
      </c>
      <c r="Q70" s="116">
        <v>0</v>
      </c>
      <c r="R70" s="116">
        <v>0</v>
      </c>
      <c r="S70" s="117">
        <v>0</v>
      </c>
      <c r="T70" s="116">
        <v>20</v>
      </c>
      <c r="U70" s="116">
        <v>0</v>
      </c>
      <c r="V70" s="116">
        <v>0</v>
      </c>
      <c r="W70" s="116">
        <v>0</v>
      </c>
      <c r="X70" s="125">
        <v>0</v>
      </c>
      <c r="Y70" s="208"/>
      <c r="Z70" s="209"/>
      <c r="AA70" s="209"/>
      <c r="AB70" s="209"/>
      <c r="AC70" s="209"/>
      <c r="AD70" s="209"/>
      <c r="AE70" s="210"/>
    </row>
    <row r="71" spans="1:31" ht="15" customHeight="1">
      <c r="A71" s="110">
        <v>61</v>
      </c>
      <c r="B71" s="111" t="s">
        <v>212</v>
      </c>
      <c r="C71" s="109" t="s">
        <v>213</v>
      </c>
      <c r="D71" s="51"/>
      <c r="E71" s="129">
        <v>0</v>
      </c>
      <c r="F71" s="129">
        <v>0</v>
      </c>
      <c r="G71" s="129">
        <v>7</v>
      </c>
      <c r="H71" s="129">
        <v>4.5</v>
      </c>
      <c r="I71" s="130">
        <v>0</v>
      </c>
      <c r="J71" s="116">
        <v>2.5</v>
      </c>
      <c r="K71" s="116">
        <v>1.5</v>
      </c>
      <c r="L71" s="116">
        <v>5</v>
      </c>
      <c r="M71" s="116">
        <v>2</v>
      </c>
      <c r="N71" s="121">
        <v>0</v>
      </c>
      <c r="O71" s="116">
        <v>0</v>
      </c>
      <c r="P71" s="116">
        <v>0</v>
      </c>
      <c r="Q71" s="116">
        <v>0</v>
      </c>
      <c r="R71" s="116">
        <v>0</v>
      </c>
      <c r="S71" s="117">
        <v>0</v>
      </c>
      <c r="T71" s="116">
        <v>15</v>
      </c>
      <c r="U71" s="116">
        <v>0</v>
      </c>
      <c r="V71" s="116">
        <v>0</v>
      </c>
      <c r="W71" s="116">
        <v>0</v>
      </c>
      <c r="X71" s="125">
        <v>0</v>
      </c>
      <c r="Y71" s="208"/>
      <c r="Z71" s="209"/>
      <c r="AA71" s="209"/>
      <c r="AB71" s="209"/>
      <c r="AC71" s="209"/>
      <c r="AD71" s="209"/>
      <c r="AE71" s="210"/>
    </row>
    <row r="72" spans="1:31" ht="15" customHeight="1">
      <c r="A72" s="110">
        <v>62</v>
      </c>
      <c r="B72" s="111" t="s">
        <v>214</v>
      </c>
      <c r="C72" s="109" t="s">
        <v>215</v>
      </c>
      <c r="D72" s="51"/>
      <c r="E72" s="129">
        <v>0</v>
      </c>
      <c r="F72" s="129">
        <v>5</v>
      </c>
      <c r="G72" s="129">
        <v>12</v>
      </c>
      <c r="H72" s="129">
        <v>7</v>
      </c>
      <c r="I72" s="130">
        <v>0</v>
      </c>
      <c r="J72" s="116">
        <v>4.5</v>
      </c>
      <c r="K72" s="116">
        <v>9</v>
      </c>
      <c r="L72" s="116">
        <v>8</v>
      </c>
      <c r="M72" s="116">
        <v>6.5</v>
      </c>
      <c r="N72" s="121">
        <v>0</v>
      </c>
      <c r="O72" s="116">
        <v>0</v>
      </c>
      <c r="P72" s="116">
        <v>0</v>
      </c>
      <c r="Q72" s="116">
        <v>0</v>
      </c>
      <c r="R72" s="116">
        <v>0</v>
      </c>
      <c r="S72" s="117">
        <v>0</v>
      </c>
      <c r="T72" s="116">
        <v>19</v>
      </c>
      <c r="U72" s="116">
        <v>0</v>
      </c>
      <c r="V72" s="116">
        <v>0</v>
      </c>
      <c r="W72" s="116">
        <v>0</v>
      </c>
      <c r="X72" s="125">
        <v>0</v>
      </c>
      <c r="Y72" s="208"/>
      <c r="Z72" s="209"/>
      <c r="AA72" s="209"/>
      <c r="AB72" s="209"/>
      <c r="AC72" s="209"/>
      <c r="AD72" s="209"/>
      <c r="AE72" s="210"/>
    </row>
    <row r="73" spans="1:31" ht="15" customHeight="1">
      <c r="A73" s="110">
        <v>63</v>
      </c>
      <c r="B73" s="111" t="s">
        <v>216</v>
      </c>
      <c r="C73" s="109" t="s">
        <v>217</v>
      </c>
      <c r="D73" s="51"/>
      <c r="E73" s="129">
        <v>0</v>
      </c>
      <c r="F73" s="129">
        <v>0</v>
      </c>
      <c r="G73" s="129">
        <v>9</v>
      </c>
      <c r="H73" s="129">
        <v>4</v>
      </c>
      <c r="I73" s="130">
        <v>0</v>
      </c>
      <c r="J73" s="116">
        <v>1</v>
      </c>
      <c r="K73" s="116">
        <v>4.5</v>
      </c>
      <c r="L73" s="116">
        <v>6</v>
      </c>
      <c r="M73" s="116">
        <v>5.5</v>
      </c>
      <c r="N73" s="121">
        <v>0</v>
      </c>
      <c r="O73" s="116">
        <v>0</v>
      </c>
      <c r="P73" s="116">
        <v>0</v>
      </c>
      <c r="Q73" s="116">
        <v>0</v>
      </c>
      <c r="R73" s="116">
        <v>0</v>
      </c>
      <c r="S73" s="117">
        <v>0</v>
      </c>
      <c r="T73" s="116">
        <v>18</v>
      </c>
      <c r="U73" s="116">
        <v>0</v>
      </c>
      <c r="V73" s="116">
        <v>0</v>
      </c>
      <c r="W73" s="116">
        <v>0</v>
      </c>
      <c r="X73" s="125">
        <v>0</v>
      </c>
      <c r="Y73" s="208"/>
      <c r="Z73" s="209"/>
      <c r="AA73" s="209"/>
      <c r="AB73" s="209"/>
      <c r="AC73" s="209"/>
      <c r="AD73" s="209"/>
      <c r="AE73" s="210"/>
    </row>
    <row r="74" spans="1:31" ht="15" customHeight="1">
      <c r="A74" s="110">
        <v>64</v>
      </c>
      <c r="B74" s="111" t="s">
        <v>218</v>
      </c>
      <c r="C74" s="109" t="s">
        <v>219</v>
      </c>
      <c r="D74" s="51"/>
      <c r="E74" s="129">
        <v>0</v>
      </c>
      <c r="F74" s="129">
        <v>0</v>
      </c>
      <c r="G74" s="129">
        <v>9</v>
      </c>
      <c r="H74" s="129">
        <v>14</v>
      </c>
      <c r="I74" s="130">
        <v>0</v>
      </c>
      <c r="J74" s="116">
        <v>4</v>
      </c>
      <c r="K74" s="116">
        <v>6</v>
      </c>
      <c r="L74" s="116">
        <v>6</v>
      </c>
      <c r="M74" s="116">
        <v>7.5</v>
      </c>
      <c r="N74" s="121">
        <v>0</v>
      </c>
      <c r="O74" s="116">
        <v>0</v>
      </c>
      <c r="P74" s="116">
        <v>0</v>
      </c>
      <c r="Q74" s="116">
        <v>0</v>
      </c>
      <c r="R74" s="116">
        <v>0</v>
      </c>
      <c r="S74" s="117">
        <v>0</v>
      </c>
      <c r="T74" s="116">
        <v>22</v>
      </c>
      <c r="U74" s="116">
        <v>0</v>
      </c>
      <c r="V74" s="116">
        <v>0</v>
      </c>
      <c r="W74" s="116">
        <v>0</v>
      </c>
      <c r="X74" s="125">
        <v>0</v>
      </c>
      <c r="Y74" s="208"/>
      <c r="Z74" s="209"/>
      <c r="AA74" s="209"/>
      <c r="AB74" s="209"/>
      <c r="AC74" s="209"/>
      <c r="AD74" s="209"/>
      <c r="AE74" s="210"/>
    </row>
    <row r="75" spans="1:31" ht="15" customHeight="1">
      <c r="A75" s="110">
        <v>65</v>
      </c>
      <c r="B75" s="111" t="s">
        <v>220</v>
      </c>
      <c r="C75" s="109" t="s">
        <v>221</v>
      </c>
      <c r="D75" s="51"/>
      <c r="E75" s="129">
        <v>0</v>
      </c>
      <c r="F75" s="129">
        <v>1</v>
      </c>
      <c r="G75" s="129">
        <v>6</v>
      </c>
      <c r="H75" s="129">
        <v>1</v>
      </c>
      <c r="I75" s="130">
        <v>0</v>
      </c>
      <c r="J75" s="116">
        <v>3.5</v>
      </c>
      <c r="K75" s="116">
        <v>10</v>
      </c>
      <c r="L75" s="116">
        <v>9</v>
      </c>
      <c r="M75" s="116">
        <v>3</v>
      </c>
      <c r="N75" s="121">
        <v>0</v>
      </c>
      <c r="O75" s="116">
        <v>0</v>
      </c>
      <c r="P75" s="116">
        <v>0</v>
      </c>
      <c r="Q75" s="116">
        <v>0</v>
      </c>
      <c r="R75" s="116">
        <v>0</v>
      </c>
      <c r="S75" s="117">
        <v>0</v>
      </c>
      <c r="T75" s="116">
        <v>23</v>
      </c>
      <c r="U75" s="116">
        <v>0</v>
      </c>
      <c r="V75" s="116">
        <v>0</v>
      </c>
      <c r="W75" s="116">
        <v>0</v>
      </c>
      <c r="X75" s="125">
        <v>0</v>
      </c>
      <c r="Y75" s="208"/>
      <c r="Z75" s="209"/>
      <c r="AA75" s="209"/>
      <c r="AB75" s="209"/>
      <c r="AC75" s="209"/>
      <c r="AD75" s="209"/>
      <c r="AE75" s="210"/>
    </row>
    <row r="76" spans="1:31" ht="15" customHeight="1">
      <c r="A76" s="110">
        <v>66</v>
      </c>
      <c r="B76" s="111" t="s">
        <v>222</v>
      </c>
      <c r="C76" s="109" t="s">
        <v>223</v>
      </c>
      <c r="D76" s="51"/>
      <c r="E76" s="129">
        <v>0</v>
      </c>
      <c r="F76" s="129">
        <v>0</v>
      </c>
      <c r="G76" s="129">
        <v>7</v>
      </c>
      <c r="H76" s="129">
        <v>3.5</v>
      </c>
      <c r="I76" s="130">
        <v>0</v>
      </c>
      <c r="J76" s="116">
        <v>0.5</v>
      </c>
      <c r="K76" s="116">
        <v>5.5</v>
      </c>
      <c r="L76" s="116">
        <v>6</v>
      </c>
      <c r="M76" s="116">
        <v>1</v>
      </c>
      <c r="N76" s="121">
        <v>0</v>
      </c>
      <c r="O76" s="116">
        <v>0</v>
      </c>
      <c r="P76" s="116">
        <v>0</v>
      </c>
      <c r="Q76" s="116">
        <v>0</v>
      </c>
      <c r="R76" s="116">
        <v>0</v>
      </c>
      <c r="S76" s="117">
        <v>0</v>
      </c>
      <c r="T76" s="116">
        <v>16</v>
      </c>
      <c r="U76" s="116">
        <v>0</v>
      </c>
      <c r="V76" s="116">
        <v>0</v>
      </c>
      <c r="W76" s="116">
        <v>0</v>
      </c>
      <c r="X76" s="125">
        <v>0</v>
      </c>
      <c r="Y76" s="208"/>
      <c r="Z76" s="209"/>
      <c r="AA76" s="209"/>
      <c r="AB76" s="209"/>
      <c r="AC76" s="209"/>
      <c r="AD76" s="209"/>
      <c r="AE76" s="210"/>
    </row>
    <row r="77" spans="1:31" ht="15" customHeight="1">
      <c r="A77" s="110">
        <v>67</v>
      </c>
      <c r="B77" s="111" t="s">
        <v>224</v>
      </c>
      <c r="C77" s="109" t="s">
        <v>225</v>
      </c>
      <c r="D77" s="51"/>
      <c r="E77" s="131">
        <v>0</v>
      </c>
      <c r="F77" s="131">
        <v>0</v>
      </c>
      <c r="G77" s="131">
        <v>12</v>
      </c>
      <c r="H77" s="131">
        <v>9</v>
      </c>
      <c r="I77" s="131">
        <v>0</v>
      </c>
      <c r="J77" s="116">
        <v>4</v>
      </c>
      <c r="K77" s="116">
        <v>8</v>
      </c>
      <c r="L77" s="116">
        <v>6</v>
      </c>
      <c r="M77" s="116">
        <v>0</v>
      </c>
      <c r="N77" s="121">
        <v>0</v>
      </c>
      <c r="O77" s="116">
        <v>0</v>
      </c>
      <c r="P77" s="116">
        <v>0</v>
      </c>
      <c r="Q77" s="116">
        <v>0</v>
      </c>
      <c r="R77" s="116">
        <v>0</v>
      </c>
      <c r="S77" s="117">
        <v>0</v>
      </c>
      <c r="T77" s="116">
        <v>20</v>
      </c>
      <c r="U77" s="116">
        <v>0</v>
      </c>
      <c r="V77" s="116">
        <v>0</v>
      </c>
      <c r="W77" s="116">
        <v>0</v>
      </c>
      <c r="X77" s="125">
        <v>0</v>
      </c>
      <c r="Y77" s="208"/>
      <c r="Z77" s="209"/>
      <c r="AA77" s="209"/>
      <c r="AB77" s="209"/>
      <c r="AC77" s="209"/>
      <c r="AD77" s="209"/>
      <c r="AE77" s="210"/>
    </row>
    <row r="78" spans="1:31" ht="15" customHeight="1">
      <c r="A78" s="110">
        <v>68</v>
      </c>
      <c r="B78" s="111" t="s">
        <v>226</v>
      </c>
      <c r="C78" s="109" t="s">
        <v>227</v>
      </c>
      <c r="D78" s="51"/>
      <c r="E78" s="131">
        <v>0</v>
      </c>
      <c r="F78" s="131">
        <v>0</v>
      </c>
      <c r="G78" s="131">
        <v>11</v>
      </c>
      <c r="H78" s="131">
        <v>7</v>
      </c>
      <c r="I78" s="131">
        <v>0</v>
      </c>
      <c r="J78" s="116">
        <v>1.5</v>
      </c>
      <c r="K78" s="116">
        <v>7.5</v>
      </c>
      <c r="L78" s="116">
        <v>5</v>
      </c>
      <c r="M78" s="116">
        <v>3.5</v>
      </c>
      <c r="N78" s="121">
        <v>0</v>
      </c>
      <c r="O78" s="116">
        <v>0</v>
      </c>
      <c r="P78" s="116">
        <v>0</v>
      </c>
      <c r="Q78" s="116">
        <v>0</v>
      </c>
      <c r="R78" s="116">
        <v>0</v>
      </c>
      <c r="S78" s="117">
        <v>0</v>
      </c>
      <c r="T78" s="116">
        <v>22</v>
      </c>
      <c r="U78" s="116">
        <v>0</v>
      </c>
      <c r="V78" s="116">
        <v>0</v>
      </c>
      <c r="W78" s="116">
        <v>0</v>
      </c>
      <c r="X78" s="125">
        <v>0</v>
      </c>
      <c r="Y78" s="208"/>
      <c r="Z78" s="209"/>
      <c r="AA78" s="209"/>
      <c r="AB78" s="209"/>
      <c r="AC78" s="209"/>
      <c r="AD78" s="209"/>
      <c r="AE78" s="210"/>
    </row>
    <row r="79" spans="1:31" ht="15" customHeight="1">
      <c r="A79" s="81">
        <v>69</v>
      </c>
      <c r="B79" s="11" t="s">
        <v>228</v>
      </c>
      <c r="C79" s="12" t="s">
        <v>229</v>
      </c>
      <c r="D79" s="51"/>
      <c r="E79" s="13">
        <v>0</v>
      </c>
      <c r="F79" s="13">
        <v>0</v>
      </c>
      <c r="G79" s="13">
        <v>7</v>
      </c>
      <c r="H79" s="13">
        <v>0</v>
      </c>
      <c r="I79" s="13">
        <v>0</v>
      </c>
      <c r="J79" s="13">
        <v>1</v>
      </c>
      <c r="K79" s="13">
        <v>0.5</v>
      </c>
      <c r="L79" s="13">
        <v>5</v>
      </c>
      <c r="M79" s="13">
        <v>0.5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15</v>
      </c>
      <c r="U79" s="13">
        <v>0</v>
      </c>
      <c r="V79" s="13">
        <v>0</v>
      </c>
      <c r="W79" s="13">
        <v>0</v>
      </c>
      <c r="X79" s="13">
        <v>0</v>
      </c>
      <c r="Y79" s="208"/>
      <c r="Z79" s="209"/>
      <c r="AA79" s="209"/>
      <c r="AB79" s="209"/>
      <c r="AC79" s="209"/>
      <c r="AD79" s="209"/>
      <c r="AE79" s="210"/>
    </row>
    <row r="80" spans="1:31" ht="15" customHeight="1">
      <c r="A80" s="82">
        <v>70</v>
      </c>
      <c r="B80" s="11" t="s">
        <v>230</v>
      </c>
      <c r="C80" s="12" t="s">
        <v>231</v>
      </c>
      <c r="D80" s="51"/>
      <c r="E80" s="13">
        <v>0</v>
      </c>
      <c r="F80" s="13">
        <v>0</v>
      </c>
      <c r="G80" s="13">
        <v>10</v>
      </c>
      <c r="H80" s="13">
        <v>3</v>
      </c>
      <c r="I80" s="13">
        <v>0</v>
      </c>
      <c r="J80" s="13">
        <v>0</v>
      </c>
      <c r="K80" s="13">
        <v>3</v>
      </c>
      <c r="L80" s="13">
        <v>7</v>
      </c>
      <c r="M80" s="13">
        <v>3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22</v>
      </c>
      <c r="U80" s="13">
        <v>0</v>
      </c>
      <c r="V80" s="13">
        <v>0</v>
      </c>
      <c r="W80" s="13">
        <v>0</v>
      </c>
      <c r="X80" s="13">
        <v>0</v>
      </c>
      <c r="Y80" s="208"/>
      <c r="Z80" s="209"/>
      <c r="AA80" s="209"/>
      <c r="AB80" s="209"/>
      <c r="AC80" s="209"/>
      <c r="AD80" s="209"/>
      <c r="AE80" s="210"/>
    </row>
    <row r="81" spans="1:31" ht="15" customHeight="1">
      <c r="A81" s="81">
        <v>71</v>
      </c>
      <c r="B81" s="11" t="s">
        <v>232</v>
      </c>
      <c r="C81" s="12" t="s">
        <v>233</v>
      </c>
      <c r="D81" s="51"/>
      <c r="E81" s="13">
        <v>0</v>
      </c>
      <c r="F81" s="13">
        <v>0</v>
      </c>
      <c r="G81" s="13">
        <v>10</v>
      </c>
      <c r="H81" s="13">
        <v>17</v>
      </c>
      <c r="I81" s="13">
        <v>0</v>
      </c>
      <c r="J81" s="13">
        <v>1</v>
      </c>
      <c r="K81" s="13">
        <v>7.5</v>
      </c>
      <c r="L81" s="13">
        <v>7</v>
      </c>
      <c r="M81" s="13">
        <v>2.5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16</v>
      </c>
      <c r="U81" s="13">
        <v>0</v>
      </c>
      <c r="V81" s="13">
        <v>0</v>
      </c>
      <c r="W81" s="13">
        <v>0</v>
      </c>
      <c r="X81" s="13">
        <v>0</v>
      </c>
      <c r="Y81" s="208"/>
      <c r="Z81" s="209"/>
      <c r="AA81" s="209"/>
      <c r="AB81" s="209"/>
      <c r="AC81" s="209"/>
      <c r="AD81" s="209"/>
      <c r="AE81" s="210"/>
    </row>
    <row r="82" spans="1:31" ht="15" customHeight="1">
      <c r="A82" s="82">
        <v>72</v>
      </c>
      <c r="B82" s="11" t="s">
        <v>234</v>
      </c>
      <c r="C82" s="12" t="s">
        <v>235</v>
      </c>
      <c r="D82" s="51"/>
      <c r="E82" s="13">
        <v>0</v>
      </c>
      <c r="F82" s="13">
        <v>0.5</v>
      </c>
      <c r="G82" s="13">
        <v>10</v>
      </c>
      <c r="H82" s="13">
        <v>3</v>
      </c>
      <c r="I82" s="13">
        <v>0</v>
      </c>
      <c r="J82" s="13">
        <v>0.5</v>
      </c>
      <c r="K82" s="13">
        <v>5</v>
      </c>
      <c r="L82" s="13">
        <v>5</v>
      </c>
      <c r="M82" s="13">
        <v>1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21</v>
      </c>
      <c r="U82" s="13">
        <v>0</v>
      </c>
      <c r="V82" s="13">
        <v>0</v>
      </c>
      <c r="W82" s="13">
        <v>0</v>
      </c>
      <c r="X82" s="13">
        <v>0</v>
      </c>
      <c r="Y82" s="208"/>
      <c r="Z82" s="209"/>
      <c r="AA82" s="209"/>
      <c r="AB82" s="209"/>
      <c r="AC82" s="209"/>
      <c r="AD82" s="209"/>
      <c r="AE82" s="210"/>
    </row>
    <row r="83" spans="1:31" ht="15" customHeight="1">
      <c r="A83" s="81">
        <v>73</v>
      </c>
      <c r="B83" s="11"/>
      <c r="C83" s="12"/>
      <c r="D83" s="51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208"/>
      <c r="Z83" s="209"/>
      <c r="AA83" s="209"/>
      <c r="AB83" s="209"/>
      <c r="AC83" s="209"/>
      <c r="AD83" s="209"/>
      <c r="AE83" s="210"/>
    </row>
    <row r="84" spans="1:31" ht="15" customHeight="1">
      <c r="A84" s="82">
        <v>74</v>
      </c>
      <c r="B84" s="11"/>
      <c r="C84" s="12"/>
      <c r="D84" s="51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208"/>
      <c r="Z84" s="209"/>
      <c r="AA84" s="209"/>
      <c r="AB84" s="209"/>
      <c r="AC84" s="209"/>
      <c r="AD84" s="209"/>
      <c r="AE84" s="210"/>
    </row>
    <row r="85" spans="1:31" ht="15" customHeight="1">
      <c r="A85" s="81">
        <v>75</v>
      </c>
      <c r="B85" s="11"/>
      <c r="C85" s="12"/>
      <c r="D85" s="51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208"/>
      <c r="Z85" s="209"/>
      <c r="AA85" s="209"/>
      <c r="AB85" s="209"/>
      <c r="AC85" s="209"/>
      <c r="AD85" s="209"/>
      <c r="AE85" s="210"/>
    </row>
    <row r="86" spans="1:31" ht="15" customHeight="1">
      <c r="A86" s="82">
        <v>76</v>
      </c>
      <c r="B86" s="11"/>
      <c r="C86" s="12"/>
      <c r="D86" s="51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208"/>
      <c r="Z86" s="209"/>
      <c r="AA86" s="209"/>
      <c r="AB86" s="209"/>
      <c r="AC86" s="209"/>
      <c r="AD86" s="209"/>
      <c r="AE86" s="210"/>
    </row>
    <row r="87" spans="1:31" ht="15" customHeight="1">
      <c r="A87" s="81">
        <v>77</v>
      </c>
      <c r="B87" s="11"/>
      <c r="C87" s="12"/>
      <c r="D87" s="51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208"/>
      <c r="Z87" s="209"/>
      <c r="AA87" s="209"/>
      <c r="AB87" s="209"/>
      <c r="AC87" s="209"/>
      <c r="AD87" s="209"/>
      <c r="AE87" s="210"/>
    </row>
    <row r="88" spans="1:31" ht="15" customHeight="1">
      <c r="A88" s="82">
        <v>78</v>
      </c>
      <c r="B88" s="11"/>
      <c r="C88" s="12"/>
      <c r="D88" s="51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208"/>
      <c r="Z88" s="209"/>
      <c r="AA88" s="209"/>
      <c r="AB88" s="209"/>
      <c r="AC88" s="209"/>
      <c r="AD88" s="209"/>
      <c r="AE88" s="210"/>
    </row>
    <row r="89" spans="1:31" ht="15" customHeight="1">
      <c r="A89" s="81">
        <v>79</v>
      </c>
      <c r="B89" s="11"/>
      <c r="C89" s="12"/>
      <c r="D89" s="51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208"/>
      <c r="Z89" s="209"/>
      <c r="AA89" s="209"/>
      <c r="AB89" s="209"/>
      <c r="AC89" s="209"/>
      <c r="AD89" s="209"/>
      <c r="AE89" s="210"/>
    </row>
    <row r="90" spans="1:31" ht="15" customHeight="1">
      <c r="A90" s="82">
        <v>80</v>
      </c>
      <c r="B90" s="11"/>
      <c r="C90" s="12"/>
      <c r="D90" s="51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208"/>
      <c r="Z90" s="209"/>
      <c r="AA90" s="209"/>
      <c r="AB90" s="209"/>
      <c r="AC90" s="209"/>
      <c r="AD90" s="209"/>
      <c r="AE90" s="210"/>
    </row>
    <row r="91" spans="1:31" ht="15" customHeight="1">
      <c r="A91" s="81">
        <v>81</v>
      </c>
      <c r="B91" s="11"/>
      <c r="C91" s="12"/>
      <c r="D91" s="51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208"/>
      <c r="Z91" s="209"/>
      <c r="AA91" s="209"/>
      <c r="AB91" s="209"/>
      <c r="AC91" s="209"/>
      <c r="AD91" s="209"/>
      <c r="AE91" s="210"/>
    </row>
    <row r="92" spans="1:31" ht="15" customHeight="1">
      <c r="A92" s="82">
        <v>82</v>
      </c>
      <c r="B92" s="11"/>
      <c r="C92" s="12"/>
      <c r="D92" s="51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208"/>
      <c r="Z92" s="209"/>
      <c r="AA92" s="209"/>
      <c r="AB92" s="209"/>
      <c r="AC92" s="209"/>
      <c r="AD92" s="209"/>
      <c r="AE92" s="210"/>
    </row>
    <row r="93" spans="1:31" ht="15" customHeight="1">
      <c r="A93" s="81">
        <v>83</v>
      </c>
      <c r="B93" s="11"/>
      <c r="C93" s="12"/>
      <c r="D93" s="51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208"/>
      <c r="Z93" s="209"/>
      <c r="AA93" s="209"/>
      <c r="AB93" s="209"/>
      <c r="AC93" s="209"/>
      <c r="AD93" s="209"/>
      <c r="AE93" s="210"/>
    </row>
    <row r="94" spans="1:31" ht="15" customHeight="1">
      <c r="A94" s="82">
        <v>84</v>
      </c>
      <c r="B94" s="11"/>
      <c r="C94" s="12"/>
      <c r="D94" s="51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208"/>
      <c r="Z94" s="209"/>
      <c r="AA94" s="209"/>
      <c r="AB94" s="209"/>
      <c r="AC94" s="209"/>
      <c r="AD94" s="209"/>
      <c r="AE94" s="210"/>
    </row>
    <row r="95" spans="1:31" ht="15" customHeight="1">
      <c r="A95" s="81">
        <v>85</v>
      </c>
      <c r="B95" s="11"/>
      <c r="C95" s="12"/>
      <c r="D95" s="51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208"/>
      <c r="Z95" s="209"/>
      <c r="AA95" s="209"/>
      <c r="AB95" s="209"/>
      <c r="AC95" s="209"/>
      <c r="AD95" s="209"/>
      <c r="AE95" s="210"/>
    </row>
    <row r="96" spans="1:31" ht="15" customHeight="1">
      <c r="A96" s="82">
        <v>86</v>
      </c>
      <c r="B96" s="11"/>
      <c r="C96" s="12"/>
      <c r="D96" s="51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208"/>
      <c r="Z96" s="209"/>
      <c r="AA96" s="209"/>
      <c r="AB96" s="209"/>
      <c r="AC96" s="209"/>
      <c r="AD96" s="209"/>
      <c r="AE96" s="210"/>
    </row>
    <row r="97" spans="1:31" ht="15" customHeight="1">
      <c r="A97" s="81">
        <v>87</v>
      </c>
      <c r="B97" s="11"/>
      <c r="C97" s="12"/>
      <c r="D97" s="51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208"/>
      <c r="Z97" s="209"/>
      <c r="AA97" s="209"/>
      <c r="AB97" s="209"/>
      <c r="AC97" s="209"/>
      <c r="AD97" s="209"/>
      <c r="AE97" s="210"/>
    </row>
    <row r="98" spans="1:31" ht="15" customHeight="1">
      <c r="A98" s="82">
        <v>88</v>
      </c>
      <c r="B98" s="11"/>
      <c r="C98" s="12"/>
      <c r="D98" s="51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208"/>
      <c r="Z98" s="209"/>
      <c r="AA98" s="209"/>
      <c r="AB98" s="209"/>
      <c r="AC98" s="209"/>
      <c r="AD98" s="209"/>
      <c r="AE98" s="210"/>
    </row>
    <row r="99" spans="1:31" ht="15" customHeight="1">
      <c r="A99" s="81">
        <v>89</v>
      </c>
      <c r="B99" s="11"/>
      <c r="C99" s="12"/>
      <c r="D99" s="51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208"/>
      <c r="Z99" s="209"/>
      <c r="AA99" s="209"/>
      <c r="AB99" s="209"/>
      <c r="AC99" s="209"/>
      <c r="AD99" s="209"/>
      <c r="AE99" s="210"/>
    </row>
    <row r="100" spans="1:31" ht="15" customHeight="1">
      <c r="A100" s="82">
        <v>90</v>
      </c>
      <c r="B100" s="11"/>
      <c r="C100" s="12"/>
      <c r="D100" s="51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208"/>
      <c r="Z100" s="209"/>
      <c r="AA100" s="209"/>
      <c r="AB100" s="209"/>
      <c r="AC100" s="209"/>
      <c r="AD100" s="209"/>
      <c r="AE100" s="210"/>
    </row>
    <row r="101" spans="1:31" ht="15" customHeight="1">
      <c r="A101" s="81">
        <v>91</v>
      </c>
      <c r="B101" s="11"/>
      <c r="C101" s="12"/>
      <c r="D101" s="51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208"/>
      <c r="Z101" s="209"/>
      <c r="AA101" s="209"/>
      <c r="AB101" s="209"/>
      <c r="AC101" s="209"/>
      <c r="AD101" s="209"/>
      <c r="AE101" s="210"/>
    </row>
    <row r="102" spans="1:31" ht="15" customHeight="1">
      <c r="A102" s="82">
        <v>92</v>
      </c>
      <c r="B102" s="11"/>
      <c r="C102" s="12"/>
      <c r="D102" s="51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208"/>
      <c r="Z102" s="209"/>
      <c r="AA102" s="209"/>
      <c r="AB102" s="209"/>
      <c r="AC102" s="209"/>
      <c r="AD102" s="209"/>
      <c r="AE102" s="210"/>
    </row>
    <row r="103" spans="1:31" ht="15" customHeight="1">
      <c r="A103" s="81">
        <v>93</v>
      </c>
      <c r="B103" s="11"/>
      <c r="C103" s="12"/>
      <c r="D103" s="51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208"/>
      <c r="Z103" s="209"/>
      <c r="AA103" s="209"/>
      <c r="AB103" s="209"/>
      <c r="AC103" s="209"/>
      <c r="AD103" s="209"/>
      <c r="AE103" s="210"/>
    </row>
    <row r="104" spans="1:31" ht="15" customHeight="1">
      <c r="A104" s="82">
        <v>94</v>
      </c>
      <c r="B104" s="11"/>
      <c r="C104" s="12"/>
      <c r="D104" s="51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208"/>
      <c r="Z104" s="209"/>
      <c r="AA104" s="209"/>
      <c r="AB104" s="209"/>
      <c r="AC104" s="209"/>
      <c r="AD104" s="209"/>
      <c r="AE104" s="210"/>
    </row>
    <row r="105" spans="1:31" ht="15" customHeight="1">
      <c r="A105" s="81">
        <v>95</v>
      </c>
      <c r="B105" s="11"/>
      <c r="C105" s="12"/>
      <c r="D105" s="51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208"/>
      <c r="Z105" s="209"/>
      <c r="AA105" s="209"/>
      <c r="AB105" s="209"/>
      <c r="AC105" s="209"/>
      <c r="AD105" s="209"/>
      <c r="AE105" s="210"/>
    </row>
    <row r="106" spans="1:31" ht="15" customHeight="1">
      <c r="A106" s="82">
        <v>96</v>
      </c>
      <c r="B106" s="11"/>
      <c r="C106" s="12"/>
      <c r="D106" s="51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208"/>
      <c r="Z106" s="209"/>
      <c r="AA106" s="209"/>
      <c r="AB106" s="209"/>
      <c r="AC106" s="209"/>
      <c r="AD106" s="209"/>
      <c r="AE106" s="210"/>
    </row>
    <row r="107" spans="1:31" ht="15" customHeight="1">
      <c r="A107" s="81">
        <v>97</v>
      </c>
      <c r="B107" s="11"/>
      <c r="C107" s="12"/>
      <c r="D107" s="51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208"/>
      <c r="Z107" s="209"/>
      <c r="AA107" s="209"/>
      <c r="AB107" s="209"/>
      <c r="AC107" s="209"/>
      <c r="AD107" s="209"/>
      <c r="AE107" s="210"/>
    </row>
    <row r="108" spans="1:31" ht="15" customHeight="1">
      <c r="A108" s="82">
        <v>98</v>
      </c>
      <c r="B108" s="11"/>
      <c r="C108" s="12"/>
      <c r="D108" s="51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208"/>
      <c r="Z108" s="209"/>
      <c r="AA108" s="209"/>
      <c r="AB108" s="209"/>
      <c r="AC108" s="209"/>
      <c r="AD108" s="209"/>
      <c r="AE108" s="210"/>
    </row>
    <row r="109" spans="1:31" ht="15" customHeight="1">
      <c r="A109" s="81">
        <v>99</v>
      </c>
      <c r="B109" s="11"/>
      <c r="C109" s="12"/>
      <c r="D109" s="51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208"/>
      <c r="Z109" s="209"/>
      <c r="AA109" s="209"/>
      <c r="AB109" s="209"/>
      <c r="AC109" s="209"/>
      <c r="AD109" s="209"/>
      <c r="AE109" s="210"/>
    </row>
    <row r="110" spans="1:31" ht="15" customHeight="1">
      <c r="A110" s="82">
        <v>100</v>
      </c>
      <c r="B110" s="11"/>
      <c r="C110" s="12"/>
      <c r="D110" s="5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208"/>
      <c r="Z110" s="209"/>
      <c r="AA110" s="209"/>
      <c r="AB110" s="209"/>
      <c r="AC110" s="209"/>
      <c r="AD110" s="209"/>
      <c r="AE110" s="210"/>
    </row>
    <row r="111" spans="1:31" ht="15" customHeight="1">
      <c r="A111" s="81">
        <v>101</v>
      </c>
      <c r="B111" s="11"/>
      <c r="C111" s="12"/>
      <c r="D111" s="51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208"/>
      <c r="Z111" s="209"/>
      <c r="AA111" s="209"/>
      <c r="AB111" s="209"/>
      <c r="AC111" s="209"/>
      <c r="AD111" s="209"/>
      <c r="AE111" s="210"/>
    </row>
    <row r="112" spans="1:31" ht="15" customHeight="1">
      <c r="A112" s="82">
        <v>102</v>
      </c>
      <c r="B112" s="11"/>
      <c r="C112" s="12"/>
      <c r="D112" s="51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208"/>
      <c r="Z112" s="209"/>
      <c r="AA112" s="209"/>
      <c r="AB112" s="209"/>
      <c r="AC112" s="209"/>
      <c r="AD112" s="209"/>
      <c r="AE112" s="210"/>
    </row>
    <row r="113" spans="1:31" ht="15" customHeight="1">
      <c r="A113" s="81">
        <v>103</v>
      </c>
      <c r="B113" s="11"/>
      <c r="C113" s="12"/>
      <c r="D113" s="51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208"/>
      <c r="Z113" s="209"/>
      <c r="AA113" s="209"/>
      <c r="AB113" s="209"/>
      <c r="AC113" s="209"/>
      <c r="AD113" s="209"/>
      <c r="AE113" s="210"/>
    </row>
    <row r="114" spans="1:31" ht="15" customHeight="1">
      <c r="A114" s="82">
        <v>104</v>
      </c>
      <c r="B114" s="11"/>
      <c r="C114" s="12"/>
      <c r="D114" s="51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208"/>
      <c r="Z114" s="209"/>
      <c r="AA114" s="209"/>
      <c r="AB114" s="209"/>
      <c r="AC114" s="209"/>
      <c r="AD114" s="209"/>
      <c r="AE114" s="210"/>
    </row>
    <row r="115" spans="1:31" ht="15" customHeight="1">
      <c r="A115" s="81">
        <v>105</v>
      </c>
      <c r="B115" s="11"/>
      <c r="C115" s="12"/>
      <c r="D115" s="51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208"/>
      <c r="Z115" s="209"/>
      <c r="AA115" s="209"/>
      <c r="AB115" s="209"/>
      <c r="AC115" s="209"/>
      <c r="AD115" s="209"/>
      <c r="AE115" s="210"/>
    </row>
    <row r="116" spans="1:31" ht="15" customHeight="1">
      <c r="A116" s="82">
        <v>106</v>
      </c>
      <c r="B116" s="11"/>
      <c r="C116" s="12"/>
      <c r="D116" s="51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208"/>
      <c r="Z116" s="209"/>
      <c r="AA116" s="209"/>
      <c r="AB116" s="209"/>
      <c r="AC116" s="209"/>
      <c r="AD116" s="209"/>
      <c r="AE116" s="210"/>
    </row>
    <row r="117" spans="1:31" ht="15" customHeight="1">
      <c r="A117" s="81">
        <v>107</v>
      </c>
      <c r="B117" s="11"/>
      <c r="C117" s="12"/>
      <c r="D117" s="51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208"/>
      <c r="Z117" s="209"/>
      <c r="AA117" s="209"/>
      <c r="AB117" s="209"/>
      <c r="AC117" s="209"/>
      <c r="AD117" s="209"/>
      <c r="AE117" s="210"/>
    </row>
    <row r="118" spans="1:31" ht="15" customHeight="1">
      <c r="A118" s="82">
        <v>108</v>
      </c>
      <c r="B118" s="11"/>
      <c r="C118" s="12"/>
      <c r="D118" s="51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208"/>
      <c r="Z118" s="209"/>
      <c r="AA118" s="209"/>
      <c r="AB118" s="209"/>
      <c r="AC118" s="209"/>
      <c r="AD118" s="209"/>
      <c r="AE118" s="210"/>
    </row>
    <row r="119" spans="1:31" ht="15" customHeight="1">
      <c r="A119" s="81">
        <v>109</v>
      </c>
      <c r="B119" s="11"/>
      <c r="C119" s="12"/>
      <c r="D119" s="51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208"/>
      <c r="Z119" s="209"/>
      <c r="AA119" s="209"/>
      <c r="AB119" s="209"/>
      <c r="AC119" s="209"/>
      <c r="AD119" s="209"/>
      <c r="AE119" s="210"/>
    </row>
    <row r="120" spans="1:31" ht="15" customHeight="1">
      <c r="A120" s="82">
        <v>110</v>
      </c>
      <c r="B120" s="11"/>
      <c r="C120" s="12"/>
      <c r="D120" s="51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208"/>
      <c r="Z120" s="209"/>
      <c r="AA120" s="209"/>
      <c r="AB120" s="209"/>
      <c r="AC120" s="209"/>
      <c r="AD120" s="209"/>
      <c r="AE120" s="210"/>
    </row>
    <row r="121" spans="1:31" ht="15" customHeight="1">
      <c r="A121" s="81">
        <v>111</v>
      </c>
      <c r="B121" s="11"/>
      <c r="C121" s="12"/>
      <c r="D121" s="51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208"/>
      <c r="Z121" s="209"/>
      <c r="AA121" s="209"/>
      <c r="AB121" s="209"/>
      <c r="AC121" s="209"/>
      <c r="AD121" s="209"/>
      <c r="AE121" s="210"/>
    </row>
    <row r="122" spans="1:31" ht="15" customHeight="1">
      <c r="A122" s="82">
        <v>112</v>
      </c>
      <c r="B122" s="11"/>
      <c r="C122" s="12"/>
      <c r="D122" s="51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208"/>
      <c r="Z122" s="209"/>
      <c r="AA122" s="209"/>
      <c r="AB122" s="209"/>
      <c r="AC122" s="209"/>
      <c r="AD122" s="209"/>
      <c r="AE122" s="210"/>
    </row>
    <row r="123" spans="1:31" ht="15" customHeight="1">
      <c r="A123" s="81">
        <v>113</v>
      </c>
      <c r="B123" s="11"/>
      <c r="C123" s="12"/>
      <c r="D123" s="51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208"/>
      <c r="Z123" s="209"/>
      <c r="AA123" s="209"/>
      <c r="AB123" s="209"/>
      <c r="AC123" s="209"/>
      <c r="AD123" s="209"/>
      <c r="AE123" s="210"/>
    </row>
    <row r="124" spans="1:31" ht="15" customHeight="1">
      <c r="A124" s="82">
        <v>114</v>
      </c>
      <c r="B124" s="11"/>
      <c r="C124" s="12"/>
      <c r="D124" s="51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208"/>
      <c r="Z124" s="209"/>
      <c r="AA124" s="209"/>
      <c r="AB124" s="209"/>
      <c r="AC124" s="209"/>
      <c r="AD124" s="209"/>
      <c r="AE124" s="210"/>
    </row>
    <row r="125" spans="1:31" ht="15" customHeight="1">
      <c r="A125" s="81">
        <v>115</v>
      </c>
      <c r="B125" s="11"/>
      <c r="C125" s="12"/>
      <c r="D125" s="51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208"/>
      <c r="Z125" s="209"/>
      <c r="AA125" s="209"/>
      <c r="AB125" s="209"/>
      <c r="AC125" s="209"/>
      <c r="AD125" s="209"/>
      <c r="AE125" s="210"/>
    </row>
    <row r="126" spans="1:31" ht="15" customHeight="1">
      <c r="A126" s="82">
        <v>116</v>
      </c>
      <c r="B126" s="11"/>
      <c r="C126" s="12"/>
      <c r="D126" s="51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208"/>
      <c r="Z126" s="209"/>
      <c r="AA126" s="209"/>
      <c r="AB126" s="209"/>
      <c r="AC126" s="209"/>
      <c r="AD126" s="209"/>
      <c r="AE126" s="210"/>
    </row>
    <row r="127" spans="1:31" ht="15" customHeight="1">
      <c r="A127" s="81">
        <v>117</v>
      </c>
      <c r="B127" s="11"/>
      <c r="C127" s="12"/>
      <c r="D127" s="51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208"/>
      <c r="Z127" s="209"/>
      <c r="AA127" s="209"/>
      <c r="AB127" s="209"/>
      <c r="AC127" s="209"/>
      <c r="AD127" s="209"/>
      <c r="AE127" s="210"/>
    </row>
    <row r="128" spans="1:31" ht="15" customHeight="1">
      <c r="A128" s="82">
        <v>118</v>
      </c>
      <c r="B128" s="11"/>
      <c r="C128" s="12"/>
      <c r="D128" s="51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208"/>
      <c r="Z128" s="209"/>
      <c r="AA128" s="209"/>
      <c r="AB128" s="209"/>
      <c r="AC128" s="209"/>
      <c r="AD128" s="209"/>
      <c r="AE128" s="210"/>
    </row>
    <row r="129" spans="1:31" ht="15" customHeight="1">
      <c r="A129" s="81">
        <v>119</v>
      </c>
      <c r="B129" s="11"/>
      <c r="C129" s="12"/>
      <c r="D129" s="51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208"/>
      <c r="Z129" s="209"/>
      <c r="AA129" s="209"/>
      <c r="AB129" s="209"/>
      <c r="AC129" s="209"/>
      <c r="AD129" s="209"/>
      <c r="AE129" s="210"/>
    </row>
    <row r="130" spans="1:31" ht="15" customHeight="1" thickBot="1">
      <c r="A130" s="83">
        <v>120</v>
      </c>
      <c r="B130" s="14"/>
      <c r="C130" s="15"/>
      <c r="D130" s="52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211"/>
      <c r="Z130" s="212"/>
      <c r="AA130" s="212"/>
      <c r="AB130" s="212"/>
      <c r="AC130" s="212"/>
      <c r="AD130" s="212"/>
      <c r="AE130" s="213"/>
    </row>
    <row r="131" spans="1:31" ht="16.5" customHeight="1" thickTop="1" thickBot="1">
      <c r="A131" s="180" t="s">
        <v>54</v>
      </c>
      <c r="B131" s="84"/>
      <c r="C131" s="84"/>
      <c r="D131" s="84"/>
      <c r="E131" s="84"/>
      <c r="F131" s="84"/>
      <c r="G131" s="84"/>
      <c r="H131" s="84"/>
      <c r="I131" s="85"/>
      <c r="J131" s="183" t="s">
        <v>13</v>
      </c>
      <c r="K131" s="177" t="s">
        <v>34</v>
      </c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9"/>
      <c r="Y131" s="62">
        <f>IF(CO_ATTAINMENT!Y131="","", CO_ATTAINMENT!Y131)</f>
        <v>0</v>
      </c>
      <c r="Z131" s="62">
        <f>IF(CO_ATTAINMENT!Z131="","", CO_ATTAINMENT!Z131)</f>
        <v>0</v>
      </c>
      <c r="AA131" s="62">
        <f>IF(CO_ATTAINMENT!AA131="","", CO_ATTAINMENT!AA131)</f>
        <v>0</v>
      </c>
      <c r="AB131" s="62">
        <f>IF(CO_ATTAINMENT!AB131="","", CO_ATTAINMENT!AB131)</f>
        <v>0</v>
      </c>
      <c r="AC131" s="62">
        <f>IF(CO_ATTAINMENT!AC131="","", CO_ATTAINMENT!AC131)</f>
        <v>0</v>
      </c>
      <c r="AD131" s="62" t="str">
        <f>IF(CO_ATTAINMENT!AD131="","", CO_ATTAINMENT!AD131)</f>
        <v/>
      </c>
      <c r="AE131" s="166"/>
    </row>
    <row r="132" spans="1:31" thickTop="1" thickBot="1">
      <c r="A132" s="181"/>
      <c r="B132" s="168" t="s">
        <v>55</v>
      </c>
      <c r="C132" s="169"/>
      <c r="D132" s="169"/>
      <c r="E132" s="169"/>
      <c r="F132" s="169"/>
      <c r="G132" s="169"/>
      <c r="H132" s="169"/>
      <c r="I132" s="170"/>
      <c r="J132" s="183"/>
      <c r="K132" s="177" t="s">
        <v>35</v>
      </c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9"/>
      <c r="Y132" s="62">
        <f>IF(CO_ATTAINMENT!Y132="","", CO_ATTAINMENT!Y132)</f>
        <v>72</v>
      </c>
      <c r="Z132" s="62">
        <f>IF(CO_ATTAINMENT!Z132="","", CO_ATTAINMENT!Z132)</f>
        <v>72</v>
      </c>
      <c r="AA132" s="62">
        <f>IF(CO_ATTAINMENT!AA132="","", CO_ATTAINMENT!AA132)</f>
        <v>72</v>
      </c>
      <c r="AB132" s="62">
        <f>IF(CO_ATTAINMENT!AB132="","", CO_ATTAINMENT!AB132)</f>
        <v>72</v>
      </c>
      <c r="AC132" s="62">
        <f>IF(CO_ATTAINMENT!AC132="","", CO_ATTAINMENT!AC132)</f>
        <v>72</v>
      </c>
      <c r="AD132" s="62" t="str">
        <f>IF(CO_ATTAINMENT!AD132="","", CO_ATTAINMENT!AD132)</f>
        <v/>
      </c>
      <c r="AE132" s="167"/>
    </row>
    <row r="133" spans="1:31" thickTop="1" thickBot="1">
      <c r="A133" s="181"/>
      <c r="B133" s="171"/>
      <c r="C133" s="172"/>
      <c r="D133" s="172"/>
      <c r="E133" s="172"/>
      <c r="F133" s="172"/>
      <c r="G133" s="172"/>
      <c r="H133" s="172"/>
      <c r="I133" s="173"/>
      <c r="J133" s="183"/>
      <c r="K133" s="177" t="s">
        <v>58</v>
      </c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9"/>
      <c r="Y133" s="63">
        <f>IF(Y$10="","",COUNTIF(Y$11:Y$130,"&gt;="&amp;$N$1))</f>
        <v>1</v>
      </c>
      <c r="Z133" s="62">
        <f>IF(CO_ATTAINMENT!Z133="","", CO_ATTAINMENT!Z133)</f>
        <v>72</v>
      </c>
      <c r="AA133" s="62">
        <f>IF(CO_ATTAINMENT!AA133="","", CO_ATTAINMENT!AA133)</f>
        <v>32</v>
      </c>
      <c r="AB133" s="62">
        <f>IF(CO_ATTAINMENT!AB133="","", CO_ATTAINMENT!AB133)</f>
        <v>23</v>
      </c>
      <c r="AC133" s="62">
        <f>IF(CO_ATTAINMENT!AC133="","", CO_ATTAINMENT!AC133)</f>
        <v>9</v>
      </c>
      <c r="AD133" s="62" t="str">
        <f>IF(CO_ATTAINMENT!AD133="","", CO_ATTAINMENT!AD133)</f>
        <v/>
      </c>
      <c r="AE133" s="167"/>
    </row>
    <row r="134" spans="1:31" thickTop="1" thickBot="1">
      <c r="A134" s="181"/>
      <c r="B134" s="171"/>
      <c r="C134" s="172"/>
      <c r="D134" s="172"/>
      <c r="E134" s="172"/>
      <c r="F134" s="172"/>
      <c r="G134" s="172"/>
      <c r="H134" s="172"/>
      <c r="I134" s="173"/>
      <c r="J134" s="183"/>
      <c r="K134" s="177" t="s">
        <v>59</v>
      </c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9"/>
      <c r="Y134" s="64">
        <f>IFERROR((Y133/Y132)*100,"")</f>
        <v>1.3888888888888888</v>
      </c>
      <c r="Z134" s="65">
        <f>IF(CO_ATTAINMENT!Z134="","", CO_ATTAINMENT!Z134)</f>
        <v>100</v>
      </c>
      <c r="AA134" s="65">
        <f>IF(CO_ATTAINMENT!AA134="","", CO_ATTAINMENT!AA134)</f>
        <v>44.444444444444443</v>
      </c>
      <c r="AB134" s="65">
        <f>IF(CO_ATTAINMENT!AB134="","", CO_ATTAINMENT!AB134)</f>
        <v>31.944444444444443</v>
      </c>
      <c r="AC134" s="65">
        <f>IF(CO_ATTAINMENT!AC134="","", CO_ATTAINMENT!AC134)</f>
        <v>12.5</v>
      </c>
      <c r="AD134" s="65" t="str">
        <f>IF(CO_ATTAINMENT!AD134="","", CO_ATTAINMENT!AD134)</f>
        <v/>
      </c>
      <c r="AE134" s="167"/>
    </row>
    <row r="135" spans="1:31" ht="32.1" customHeight="1" thickTop="1" thickBot="1">
      <c r="A135" s="182"/>
      <c r="B135" s="174"/>
      <c r="C135" s="175"/>
      <c r="D135" s="175"/>
      <c r="E135" s="175"/>
      <c r="F135" s="175"/>
      <c r="G135" s="175"/>
      <c r="H135" s="175"/>
      <c r="I135" s="176"/>
      <c r="J135" s="183"/>
      <c r="K135" s="177" t="s">
        <v>52</v>
      </c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9"/>
      <c r="Y135" s="64"/>
      <c r="Z135" s="65">
        <f>IF(CO_ATTAINMENT!Z135="","", CO_ATTAINMENT!Z135)</f>
        <v>3</v>
      </c>
      <c r="AA135" s="65">
        <f>IF(CO_ATTAINMENT!AA135="","", CO_ATTAINMENT!AA135)</f>
        <v>0</v>
      </c>
      <c r="AB135" s="65">
        <f>IF(CO_ATTAINMENT!AB135="","", CO_ATTAINMENT!AB135)</f>
        <v>0</v>
      </c>
      <c r="AC135" s="65">
        <f>IF(CO_ATTAINMENT!AC135="","", CO_ATTAINMENT!AC135)</f>
        <v>0</v>
      </c>
      <c r="AD135" s="65" t="str">
        <f>IF(CO_ATTAINMENT!AD135="","", CO_ATTAINMENT!AD135)</f>
        <v/>
      </c>
      <c r="AE135" s="167"/>
    </row>
    <row r="136" spans="1:31" ht="24.75" thickTop="1" thickBot="1">
      <c r="A136" s="86"/>
      <c r="B136" s="222"/>
      <c r="C136" s="222"/>
      <c r="D136" s="222"/>
      <c r="E136" s="222"/>
      <c r="F136" s="222"/>
      <c r="G136" s="222"/>
      <c r="H136" s="222"/>
      <c r="I136" s="87"/>
      <c r="J136" s="223" t="s">
        <v>45</v>
      </c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5"/>
      <c r="Z136" s="66">
        <f>IFERROR(Z135,"")</f>
        <v>3</v>
      </c>
      <c r="AA136" s="66">
        <f>IFERROR(AA135,"")</f>
        <v>0</v>
      </c>
      <c r="AB136" s="67">
        <f t="shared" ref="AB136:AD136" si="1">IFERROR(AB135,"")</f>
        <v>0</v>
      </c>
      <c r="AC136" s="67">
        <f t="shared" si="1"/>
        <v>0</v>
      </c>
      <c r="AD136" s="67" t="str">
        <f t="shared" si="1"/>
        <v/>
      </c>
      <c r="AE136" s="167"/>
    </row>
    <row r="137" spans="1:31" ht="16.5" customHeight="1" thickTop="1" thickBot="1">
      <c r="A137" s="180" t="s">
        <v>54</v>
      </c>
      <c r="B137" s="84"/>
      <c r="C137" s="84"/>
      <c r="D137" s="84"/>
      <c r="E137" s="84"/>
      <c r="F137" s="84"/>
      <c r="G137" s="84"/>
      <c r="H137" s="84"/>
      <c r="I137" s="85"/>
      <c r="J137" s="183" t="s">
        <v>13</v>
      </c>
      <c r="K137" s="177" t="s">
        <v>34</v>
      </c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9"/>
      <c r="Y137" s="62">
        <f>IF(CO_ATTAINMENT!Y137="","", CO_ATTAINMENT!Y137)</f>
        <v>0</v>
      </c>
      <c r="Z137" s="62">
        <f>IF(CO_ATTAINMENT!Z137="","", CO_ATTAINMENT!Z137)</f>
        <v>0</v>
      </c>
      <c r="AA137" s="68">
        <f>IF(CO_ATTAINMENT!AA137="","", CO_ATTAINMENT!AA137)</f>
        <v>0</v>
      </c>
      <c r="AB137" s="72">
        <f>IF(CO_ATTAINMENT!AB137="","", CO_ATTAINMENT!AB137)</f>
        <v>0</v>
      </c>
      <c r="AC137" s="72">
        <f>IF(CO_ATTAINMENT!AC137="","", CO_ATTAINMENT!AC137)</f>
        <v>0</v>
      </c>
      <c r="AD137" s="72" t="str">
        <f>IF(CO_ATTAINMENT!AD137="","", CO_ATTAINMENT!AD137)</f>
        <v/>
      </c>
      <c r="AE137" s="220"/>
    </row>
    <row r="138" spans="1:31" thickTop="1" thickBot="1">
      <c r="A138" s="181"/>
      <c r="B138" s="168" t="s">
        <v>56</v>
      </c>
      <c r="C138" s="169"/>
      <c r="D138" s="169"/>
      <c r="E138" s="169"/>
      <c r="F138" s="169"/>
      <c r="G138" s="169"/>
      <c r="H138" s="169"/>
      <c r="I138" s="170"/>
      <c r="J138" s="183"/>
      <c r="K138" s="177" t="s">
        <v>35</v>
      </c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9"/>
      <c r="Y138" s="62">
        <f>IF(CO_ATTAINMENT!Y138="","", CO_ATTAINMENT!Y138)</f>
        <v>72</v>
      </c>
      <c r="Z138" s="62">
        <f>IF(CO_ATTAINMENT!Z138="","", CO_ATTAINMENT!Z138)</f>
        <v>72</v>
      </c>
      <c r="AA138" s="68">
        <f>IF(CO_ATTAINMENT!AA138="","", CO_ATTAINMENT!AA138)</f>
        <v>72</v>
      </c>
      <c r="AB138" s="72">
        <f>IF(CO_ATTAINMENT!AB138="","", CO_ATTAINMENT!AB138)</f>
        <v>72</v>
      </c>
      <c r="AC138" s="72">
        <f>IF(CO_ATTAINMENT!AC138="","", CO_ATTAINMENT!AC138)</f>
        <v>72</v>
      </c>
      <c r="AD138" s="72" t="str">
        <f>IF(CO_ATTAINMENT!AD138="","", CO_ATTAINMENT!AD138)</f>
        <v/>
      </c>
      <c r="AE138" s="221"/>
    </row>
    <row r="139" spans="1:31" thickTop="1" thickBot="1">
      <c r="A139" s="181"/>
      <c r="B139" s="171"/>
      <c r="C139" s="172"/>
      <c r="D139" s="172"/>
      <c r="E139" s="172"/>
      <c r="F139" s="172"/>
      <c r="G139" s="172"/>
      <c r="H139" s="172"/>
      <c r="I139" s="173"/>
      <c r="J139" s="183"/>
      <c r="K139" s="177" t="s">
        <v>60</v>
      </c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9"/>
      <c r="Y139" s="62">
        <f>IF(CO_ATTAINMENT!Y139="","", CO_ATTAINMENT!Y139)</f>
        <v>70</v>
      </c>
      <c r="Z139" s="62">
        <f>IF(CO_ATTAINMENT!Z139="","", CO_ATTAINMENT!Z139)</f>
        <v>72</v>
      </c>
      <c r="AA139" s="68">
        <f>IF(CO_ATTAINMENT!AA139="","", CO_ATTAINMENT!AA139)</f>
        <v>57</v>
      </c>
      <c r="AB139" s="72">
        <f>IF(CO_ATTAINMENT!AB139="","", CO_ATTAINMENT!AB139)</f>
        <v>71</v>
      </c>
      <c r="AC139" s="72">
        <f>IF(CO_ATTAINMENT!AC139="","", CO_ATTAINMENT!AC139)</f>
        <v>25</v>
      </c>
      <c r="AD139" s="72" t="str">
        <f>IF(CO_ATTAINMENT!AD139="","", CO_ATTAINMENT!AD139)</f>
        <v/>
      </c>
      <c r="AE139" s="221"/>
    </row>
    <row r="140" spans="1:31" thickTop="1" thickBot="1">
      <c r="A140" s="181"/>
      <c r="B140" s="171"/>
      <c r="C140" s="172"/>
      <c r="D140" s="172"/>
      <c r="E140" s="172"/>
      <c r="F140" s="172"/>
      <c r="G140" s="172"/>
      <c r="H140" s="172"/>
      <c r="I140" s="173"/>
      <c r="J140" s="183"/>
      <c r="K140" s="177" t="s">
        <v>62</v>
      </c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9"/>
      <c r="Y140" s="62">
        <f>IF(CO_ATTAINMENT!Y140="","", CO_ATTAINMENT!Y140)</f>
        <v>97.222222222222214</v>
      </c>
      <c r="Z140" s="62">
        <f>IF(CO_ATTAINMENT!Z140="","", CO_ATTAINMENT!Z140)</f>
        <v>100</v>
      </c>
      <c r="AA140" s="68">
        <f>IF(CO_ATTAINMENT!AA140="","", CO_ATTAINMENT!AA140)</f>
        <v>79.166666666666657</v>
      </c>
      <c r="AB140" s="72">
        <f>IF(CO_ATTAINMENT!AB140="","", CO_ATTAINMENT!AB140)</f>
        <v>98.611111111111114</v>
      </c>
      <c r="AC140" s="72">
        <f>IF(CO_ATTAINMENT!AC140="","", CO_ATTAINMENT!AC140)</f>
        <v>34.722222222222221</v>
      </c>
      <c r="AD140" s="72" t="str">
        <f>IF(CO_ATTAINMENT!AD140="","", CO_ATTAINMENT!AD140)</f>
        <v/>
      </c>
      <c r="AE140" s="221"/>
    </row>
    <row r="141" spans="1:31" ht="32.1" customHeight="1" thickTop="1" thickBot="1">
      <c r="A141" s="182"/>
      <c r="B141" s="174"/>
      <c r="C141" s="175"/>
      <c r="D141" s="175"/>
      <c r="E141" s="175"/>
      <c r="F141" s="175"/>
      <c r="G141" s="175"/>
      <c r="H141" s="175"/>
      <c r="I141" s="176"/>
      <c r="J141" s="183"/>
      <c r="K141" s="177" t="s">
        <v>61</v>
      </c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9"/>
      <c r="Y141" s="62" t="str">
        <f>IF(CO_ATTAINMENT!Y141="","", CO_ATTAINMENT!Y141)</f>
        <v/>
      </c>
      <c r="Z141" s="65">
        <f>IF(CO_ATTAINMENT!Z141="","", CO_ATTAINMENT!Z141)</f>
        <v>71.620370370370352</v>
      </c>
      <c r="AA141" s="69">
        <f>IF(CO_ATTAINMENT!AA141="","", CO_ATTAINMENT!AA141)</f>
        <v>47.731481481481488</v>
      </c>
      <c r="AB141" s="73">
        <f>IF(CO_ATTAINMENT!AB141="","", CO_ATTAINMENT!AB141)</f>
        <v>45.952380952380935</v>
      </c>
      <c r="AC141" s="73">
        <f>IF(CO_ATTAINMENT!AC141="","", CO_ATTAINMENT!AC141)</f>
        <v>27.978395061728392</v>
      </c>
      <c r="AD141" s="73" t="str">
        <f>IF(CO_ATTAINMENT!AD141="","", CO_ATTAINMENT!AD141)</f>
        <v/>
      </c>
      <c r="AE141" s="221"/>
    </row>
    <row r="142" spans="1:31" ht="32.1" customHeight="1" thickTop="1" thickBot="1">
      <c r="A142" s="88"/>
      <c r="B142" s="89"/>
      <c r="C142" s="90"/>
      <c r="D142" s="90"/>
      <c r="E142" s="90"/>
      <c r="F142" s="90"/>
      <c r="G142" s="90"/>
      <c r="H142" s="90"/>
      <c r="I142" s="91"/>
      <c r="J142" s="92"/>
      <c r="K142" s="93"/>
      <c r="L142" s="93"/>
      <c r="M142" s="93"/>
      <c r="N142" s="93"/>
      <c r="O142" s="93"/>
      <c r="P142" s="93"/>
      <c r="Q142" s="178" t="s">
        <v>63</v>
      </c>
      <c r="R142" s="195"/>
      <c r="S142" s="195"/>
      <c r="T142" s="195"/>
      <c r="U142" s="195"/>
      <c r="V142" s="195"/>
      <c r="W142" s="195"/>
      <c r="X142" s="195"/>
      <c r="Y142" s="196"/>
      <c r="Z142" s="70">
        <f>IFERROR(Z141,"")</f>
        <v>71.620370370370352</v>
      </c>
      <c r="AA142" s="71">
        <f t="shared" ref="AA142:AD142" si="2">IFERROR(AA141,"")</f>
        <v>47.731481481481488</v>
      </c>
      <c r="AB142" s="71">
        <f t="shared" si="2"/>
        <v>45.952380952380935</v>
      </c>
      <c r="AC142" s="71">
        <f t="shared" si="2"/>
        <v>27.978395061728392</v>
      </c>
      <c r="AD142" s="71" t="str">
        <f t="shared" si="2"/>
        <v/>
      </c>
      <c r="AE142" s="221"/>
    </row>
    <row r="143" spans="1:31" ht="32.1" customHeight="1" thickTop="1" thickBot="1">
      <c r="A143" s="197" t="s">
        <v>70</v>
      </c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94"/>
      <c r="U143" s="94"/>
      <c r="V143" s="94"/>
      <c r="W143" s="94"/>
      <c r="X143" s="94"/>
      <c r="Y143" s="95"/>
      <c r="Z143" s="214"/>
      <c r="AA143" s="215"/>
      <c r="AB143" s="215"/>
      <c r="AC143" s="215"/>
      <c r="AD143" s="215"/>
      <c r="AE143" s="221"/>
    </row>
    <row r="144" spans="1:31" ht="32.1" customHeight="1" thickTop="1" thickBot="1">
      <c r="A144" s="96"/>
      <c r="B144" s="216" t="s">
        <v>73</v>
      </c>
      <c r="C144" s="217"/>
      <c r="D144" s="97"/>
      <c r="E144" s="97" t="s">
        <v>17</v>
      </c>
      <c r="F144" s="97" t="s">
        <v>18</v>
      </c>
      <c r="G144" s="97" t="s">
        <v>19</v>
      </c>
      <c r="H144" s="97" t="s">
        <v>20</v>
      </c>
      <c r="I144" s="97" t="s">
        <v>21</v>
      </c>
      <c r="J144" s="97" t="s">
        <v>22</v>
      </c>
      <c r="K144" s="97" t="s">
        <v>23</v>
      </c>
      <c r="L144" s="97" t="s">
        <v>24</v>
      </c>
      <c r="M144" s="97" t="s">
        <v>25</v>
      </c>
      <c r="N144" s="97" t="s">
        <v>26</v>
      </c>
      <c r="O144" s="97" t="s">
        <v>27</v>
      </c>
      <c r="P144" s="97" t="s">
        <v>28</v>
      </c>
      <c r="Q144" s="97" t="s">
        <v>29</v>
      </c>
      <c r="R144" s="98" t="s">
        <v>30</v>
      </c>
      <c r="S144" s="99" t="s">
        <v>31</v>
      </c>
      <c r="T144" s="100"/>
      <c r="U144" s="100"/>
      <c r="V144" s="100"/>
      <c r="W144" s="100"/>
      <c r="X144" s="100"/>
      <c r="Y144" s="101"/>
      <c r="Z144" s="102"/>
      <c r="AA144" s="102"/>
      <c r="AB144" s="102"/>
      <c r="AC144" s="102"/>
      <c r="AD144" s="102"/>
      <c r="AE144" s="221"/>
    </row>
    <row r="145" spans="1:31" ht="32.1" customHeight="1" thickTop="1" thickBot="1">
      <c r="A145" s="96"/>
      <c r="B145" s="216"/>
      <c r="C145" s="217"/>
      <c r="D145" s="97" t="s">
        <v>6</v>
      </c>
      <c r="E145" s="132">
        <v>2</v>
      </c>
      <c r="F145" s="133">
        <v>2</v>
      </c>
      <c r="G145" s="134"/>
      <c r="H145" s="134"/>
      <c r="I145" s="133">
        <v>1</v>
      </c>
      <c r="J145" s="134"/>
      <c r="K145" s="134"/>
      <c r="L145" s="134"/>
      <c r="M145" s="134"/>
      <c r="N145" s="134"/>
      <c r="O145" s="133">
        <v>1</v>
      </c>
      <c r="P145" s="133">
        <v>1</v>
      </c>
      <c r="Q145" s="133">
        <v>1</v>
      </c>
      <c r="R145" s="134"/>
      <c r="S145" s="133">
        <v>1</v>
      </c>
      <c r="T145" s="100"/>
      <c r="U145" s="100"/>
      <c r="V145" s="100"/>
      <c r="W145" s="100"/>
      <c r="X145" s="100"/>
      <c r="Y145" s="101"/>
      <c r="Z145" s="102"/>
      <c r="AA145" s="102"/>
      <c r="AB145" s="102"/>
      <c r="AC145" s="102"/>
      <c r="AD145" s="102"/>
      <c r="AE145" s="221"/>
    </row>
    <row r="146" spans="1:31" ht="32.1" customHeight="1" thickTop="1" thickBot="1">
      <c r="A146" s="96"/>
      <c r="B146" s="216"/>
      <c r="C146" s="217"/>
      <c r="D146" s="97" t="s">
        <v>7</v>
      </c>
      <c r="E146" s="132">
        <v>2</v>
      </c>
      <c r="F146" s="133">
        <v>3</v>
      </c>
      <c r="G146" s="133">
        <v>2</v>
      </c>
      <c r="H146" s="133">
        <v>1</v>
      </c>
      <c r="I146" s="133">
        <v>1</v>
      </c>
      <c r="J146" s="134"/>
      <c r="K146" s="134"/>
      <c r="L146" s="134"/>
      <c r="M146" s="134"/>
      <c r="N146" s="133">
        <v>1</v>
      </c>
      <c r="O146" s="134"/>
      <c r="P146" s="133">
        <v>1</v>
      </c>
      <c r="Q146" s="133">
        <v>1</v>
      </c>
      <c r="R146" s="134"/>
      <c r="S146" s="133">
        <v>1</v>
      </c>
      <c r="T146" s="100"/>
      <c r="U146" s="100"/>
      <c r="V146" s="100"/>
      <c r="W146" s="100"/>
      <c r="X146" s="100"/>
      <c r="Y146" s="101"/>
      <c r="Z146" s="102"/>
      <c r="AA146" s="102"/>
      <c r="AB146" s="102"/>
      <c r="AC146" s="102"/>
      <c r="AD146" s="102"/>
      <c r="AE146" s="221"/>
    </row>
    <row r="147" spans="1:31" ht="32.1" customHeight="1" thickTop="1" thickBot="1">
      <c r="A147" s="96"/>
      <c r="B147" s="216"/>
      <c r="C147" s="217"/>
      <c r="D147" s="97" t="s">
        <v>8</v>
      </c>
      <c r="E147" s="135">
        <v>1</v>
      </c>
      <c r="F147" s="136">
        <v>1</v>
      </c>
      <c r="G147" s="136">
        <v>2</v>
      </c>
      <c r="H147" s="137"/>
      <c r="I147" s="136">
        <v>1</v>
      </c>
      <c r="J147" s="136">
        <v>1</v>
      </c>
      <c r="K147" s="137"/>
      <c r="L147" s="136">
        <v>1</v>
      </c>
      <c r="M147" s="137"/>
      <c r="N147" s="137"/>
      <c r="O147" s="137"/>
      <c r="P147" s="136">
        <v>1</v>
      </c>
      <c r="Q147" s="136">
        <v>2</v>
      </c>
      <c r="R147" s="136">
        <v>1</v>
      </c>
      <c r="S147" s="136">
        <v>1</v>
      </c>
      <c r="T147" s="100"/>
      <c r="U147" s="100"/>
      <c r="V147" s="100"/>
      <c r="W147" s="100"/>
      <c r="X147" s="100"/>
      <c r="Y147" s="101"/>
      <c r="Z147" s="102"/>
      <c r="AA147" s="102"/>
      <c r="AB147" s="102"/>
      <c r="AC147" s="102"/>
      <c r="AD147" s="102"/>
      <c r="AE147" s="221"/>
    </row>
    <row r="148" spans="1:31" ht="32.1" customHeight="1" thickTop="1" thickBot="1">
      <c r="A148" s="96"/>
      <c r="B148" s="216"/>
      <c r="C148" s="217"/>
      <c r="D148" s="97" t="s">
        <v>9</v>
      </c>
      <c r="E148" s="135">
        <v>1</v>
      </c>
      <c r="F148" s="136">
        <v>1</v>
      </c>
      <c r="G148" s="136">
        <v>2</v>
      </c>
      <c r="H148" s="136">
        <v>1</v>
      </c>
      <c r="I148" s="136">
        <v>1</v>
      </c>
      <c r="J148" s="136">
        <v>1</v>
      </c>
      <c r="K148" s="137"/>
      <c r="L148" s="136">
        <v>1</v>
      </c>
      <c r="M148" s="137"/>
      <c r="N148" s="136">
        <v>1</v>
      </c>
      <c r="O148" s="136">
        <v>1</v>
      </c>
      <c r="P148" s="136">
        <v>1</v>
      </c>
      <c r="Q148" s="136">
        <v>2</v>
      </c>
      <c r="R148" s="136">
        <v>1</v>
      </c>
      <c r="S148" s="136">
        <v>1</v>
      </c>
      <c r="T148" s="100"/>
      <c r="U148" s="100"/>
      <c r="V148" s="100"/>
      <c r="W148" s="100"/>
      <c r="X148" s="100"/>
      <c r="Y148" s="101"/>
      <c r="Z148" s="102"/>
      <c r="AA148" s="102"/>
      <c r="AB148" s="102"/>
      <c r="AC148" s="102"/>
      <c r="AD148" s="102"/>
      <c r="AE148" s="221"/>
    </row>
    <row r="149" spans="1:31" ht="32.1" customHeight="1" thickTop="1" thickBot="1">
      <c r="A149" s="103"/>
      <c r="B149" s="218"/>
      <c r="C149" s="219"/>
      <c r="D149" s="97" t="s">
        <v>10</v>
      </c>
      <c r="E149" s="138"/>
      <c r="F149" s="139"/>
      <c r="G149" s="139"/>
      <c r="H149" s="140"/>
      <c r="I149" s="139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00"/>
      <c r="U149" s="100"/>
      <c r="V149" s="100"/>
      <c r="W149" s="100"/>
      <c r="X149" s="100"/>
      <c r="Y149" s="101"/>
      <c r="Z149" s="102"/>
      <c r="AA149" s="102"/>
      <c r="AB149" s="102"/>
      <c r="AC149" s="102"/>
      <c r="AD149" s="102"/>
      <c r="AE149" s="221"/>
    </row>
    <row r="150" spans="1:31" ht="32.1" customHeight="1" thickTop="1">
      <c r="A150" s="104"/>
      <c r="B150" s="202" t="s">
        <v>71</v>
      </c>
      <c r="C150" s="203"/>
      <c r="D150" s="204"/>
      <c r="E150" s="106">
        <f>IF(PO_ATTAINMENT!B24="","",PO_ATTAINMENT!B24)</f>
        <v>0.5</v>
      </c>
      <c r="F150" s="106">
        <f>IF(PO_ATTAINMENT!C24="","",PO_ATTAINMENT!C24)</f>
        <v>0.5</v>
      </c>
      <c r="G150" s="106">
        <f>IF(PO_ATTAINMENT!D24="","",PO_ATTAINMENT!D24)</f>
        <v>0</v>
      </c>
      <c r="H150" s="106">
        <f>IF(PO_ATTAINMENT!E24="","",PO_ATTAINMENT!E24)</f>
        <v>0</v>
      </c>
      <c r="I150" s="106">
        <f>IF(PO_ATTAINMENT!F24="","",PO_ATTAINMENT!F24)</f>
        <v>0.25</v>
      </c>
      <c r="J150" s="106">
        <f>IF(PO_ATTAINMENT!G24="","",PO_ATTAINMENT!G24)</f>
        <v>0</v>
      </c>
      <c r="K150" s="106" t="str">
        <f>IF(PO_ATTAINMENT!H24="","",PO_ATTAINMENT!H24)</f>
        <v/>
      </c>
      <c r="L150" s="106">
        <f>IF(PO_ATTAINMENT!I24="","",PO_ATTAINMENT!I24)</f>
        <v>0</v>
      </c>
      <c r="M150" s="106" t="str">
        <f>IF(PO_ATTAINMENT!J24="","",PO_ATTAINMENT!J24)</f>
        <v/>
      </c>
      <c r="N150" s="106">
        <f>IF(PO_ATTAINMENT!K24="","",PO_ATTAINMENT!K24)</f>
        <v>0</v>
      </c>
      <c r="O150" s="106">
        <f>IF(PO_ATTAINMENT!L24="","",PO_ATTAINMENT!L24)</f>
        <v>0.5</v>
      </c>
      <c r="P150" s="106">
        <f>IF(PO_ATTAINMENT!M24="","",PO_ATTAINMENT!M24)</f>
        <v>0.25</v>
      </c>
      <c r="Q150" s="106">
        <f>IF(PO_ATTAINMENT!N24="","",PO_ATTAINMENT!N24)</f>
        <v>0.25</v>
      </c>
      <c r="R150" s="106">
        <f>IF(PO_ATTAINMENT!O24="","",PO_ATTAINMENT!O24)</f>
        <v>0</v>
      </c>
      <c r="S150" s="106">
        <f>IF(PO_ATTAINMENT!P24="","",PO_ATTAINMENT!P24)</f>
        <v>0.25</v>
      </c>
      <c r="T150" s="100"/>
      <c r="U150" s="100"/>
      <c r="V150" s="100"/>
      <c r="W150" s="100"/>
      <c r="X150" s="100"/>
      <c r="Y150" s="101"/>
      <c r="Z150" s="102"/>
      <c r="AA150" s="102"/>
      <c r="AB150" s="102"/>
      <c r="AC150" s="102"/>
      <c r="AD150" s="102"/>
      <c r="AE150" s="221"/>
    </row>
    <row r="151" spans="1:31" ht="21" hidden="1" customHeight="1">
      <c r="A151" s="8" t="s">
        <v>44</v>
      </c>
      <c r="B151" s="199" t="s">
        <v>72</v>
      </c>
      <c r="C151" s="200"/>
      <c r="D151" s="201"/>
      <c r="E151" s="105">
        <f>IF(PO_ATTAINMENT!B36="","",PO_ATTAINMENT!B36)</f>
        <v>52.105746619635511</v>
      </c>
      <c r="F151" s="105">
        <f>IF(PO_ATTAINMENT!C36="","",PO_ATTAINMENT!C36)</f>
        <v>51.480851599899211</v>
      </c>
      <c r="G151" s="105">
        <f>IF(PO_ATTAINMENT!D36="","",PO_ATTAINMENT!D36)</f>
        <v>40.55408583186361</v>
      </c>
      <c r="H151" s="105">
        <f>IF(PO_ATTAINMENT!E36="","",PO_ATTAINMENT!E36)</f>
        <v>37.854938271604937</v>
      </c>
      <c r="I151" s="105">
        <f>IF(PO_ATTAINMENT!F36="","",PO_ATTAINMENT!F36)</f>
        <v>48.32065696649029</v>
      </c>
      <c r="J151" s="105">
        <f>IF(PO_ATTAINMENT!G36="","",PO_ATTAINMENT!G36)</f>
        <v>36.965388007054663</v>
      </c>
      <c r="K151" s="105" t="str">
        <f>IF(PO_ATTAINMENT!H36="","",PO_ATTAINMENT!H36)</f>
        <v/>
      </c>
      <c r="L151" s="105">
        <f>IF(PO_ATTAINMENT!I36="","",PO_ATTAINMENT!I36)</f>
        <v>36.965388007054663</v>
      </c>
      <c r="M151" s="105" t="str">
        <f>IF(PO_ATTAINMENT!J36="","",PO_ATTAINMENT!J36)</f>
        <v/>
      </c>
      <c r="N151" s="105">
        <f>IF(PO_ATTAINMENT!K36="","",PO_ATTAINMENT!K36)</f>
        <v>37.854938271604937</v>
      </c>
      <c r="O151" s="105">
        <f>IF(PO_ATTAINMENT!L36="","",PO_ATTAINMENT!L36)</f>
        <v>49.799382716049372</v>
      </c>
      <c r="P151" s="105">
        <f>IF(PO_ATTAINMENT!M36="","",PO_ATTAINMENT!M36)</f>
        <v>48.32065696649029</v>
      </c>
      <c r="Q151" s="105">
        <f>IF(PO_ATTAINMENT!N36="","",PO_ATTAINMENT!N36)</f>
        <v>44.535567313345076</v>
      </c>
      <c r="R151" s="105">
        <f>IF(PO_ATTAINMENT!O36="","",PO_ATTAINMENT!O36)</f>
        <v>36.965388007054663</v>
      </c>
      <c r="S151" s="105">
        <f>IF(PO_ATTAINMENT!P36="","",PO_ATTAINMENT!P36)</f>
        <v>48.32065696649029</v>
      </c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221"/>
    </row>
  </sheetData>
  <protectedRanges>
    <protectedRange sqref="C1:D3 B73:X130 I5 C5:D6 G6 K6 Z5:Z6 AD6 Y10 N1:N2 P1:X2 O2 D11:D72" name="Range1"/>
    <protectedRange sqref="E145:S151" name="Range1_2"/>
    <protectedRange sqref="B11:C72" name="Range1_3"/>
    <protectedRange sqref="E11:I72 J11:X69" name="Range1_4"/>
    <protectedRange sqref="E10:I10" name="Range1_1_1"/>
    <protectedRange sqref="J10:N10 J70:N72" name="Range1_2_1"/>
    <protectedRange sqref="O10:S10 O70:S72" name="Range1_3_1"/>
    <protectedRange sqref="T10:X10 T70:X72" name="Range1_4_1"/>
  </protectedRanges>
  <mergeCells count="61">
    <mergeCell ref="Q142:Y142"/>
    <mergeCell ref="A143:S143"/>
    <mergeCell ref="B151:D151"/>
    <mergeCell ref="B150:D150"/>
    <mergeCell ref="Y11:AE130"/>
    <mergeCell ref="Z143:AD143"/>
    <mergeCell ref="B144:C149"/>
    <mergeCell ref="AE137:AE151"/>
    <mergeCell ref="B138:I141"/>
    <mergeCell ref="K138:X138"/>
    <mergeCell ref="K139:X139"/>
    <mergeCell ref="K140:X140"/>
    <mergeCell ref="K141:X141"/>
    <mergeCell ref="K135:X135"/>
    <mergeCell ref="B136:H136"/>
    <mergeCell ref="J136:Y136"/>
    <mergeCell ref="A137:A141"/>
    <mergeCell ref="J137:J141"/>
    <mergeCell ref="K137:X137"/>
    <mergeCell ref="O8:R8"/>
    <mergeCell ref="T8:W8"/>
    <mergeCell ref="A131:A135"/>
    <mergeCell ref="J131:J135"/>
    <mergeCell ref="K131:X131"/>
    <mergeCell ref="A8:A10"/>
    <mergeCell ref="B8:B10"/>
    <mergeCell ref="C8:C9"/>
    <mergeCell ref="D8:D9"/>
    <mergeCell ref="E8:H8"/>
    <mergeCell ref="J8:M8"/>
    <mergeCell ref="AE131:AE136"/>
    <mergeCell ref="B132:I135"/>
    <mergeCell ref="K132:X132"/>
    <mergeCell ref="K133:X133"/>
    <mergeCell ref="K134:X134"/>
    <mergeCell ref="Z6:AA6"/>
    <mergeCell ref="AB6:AC6"/>
    <mergeCell ref="AD6:AE6"/>
    <mergeCell ref="E7:I7"/>
    <mergeCell ref="J7:N7"/>
    <mergeCell ref="O7:S7"/>
    <mergeCell ref="T7:X7"/>
    <mergeCell ref="Z7:AE7"/>
    <mergeCell ref="M6:Y6"/>
    <mergeCell ref="A6:B6"/>
    <mergeCell ref="E6:F6"/>
    <mergeCell ref="G6:H6"/>
    <mergeCell ref="I6:J6"/>
    <mergeCell ref="K6:L6"/>
    <mergeCell ref="Z5:AE5"/>
    <mergeCell ref="A1:B3"/>
    <mergeCell ref="G1:M1"/>
    <mergeCell ref="G2:M2"/>
    <mergeCell ref="G3:AE3"/>
    <mergeCell ref="A4:AE4"/>
    <mergeCell ref="O1:AE2"/>
    <mergeCell ref="A5:B5"/>
    <mergeCell ref="C5:F5"/>
    <mergeCell ref="G5:H5"/>
    <mergeCell ref="I5:M5"/>
    <mergeCell ref="N5:Y5"/>
  </mergeCells>
  <dataValidations count="2">
    <dataValidation type="list" allowBlank="1" showInputMessage="1" showErrorMessage="1" sqref="G6:H6">
      <formula1>$AF$5:$AF$8</formula1>
    </dataValidation>
    <dataValidation allowBlank="1" showInputMessage="1" showErrorMessage="1" error="PLEASE INSERT CORRECT VALUE" sqref="E150:S151"/>
  </dataValidations>
  <pageMargins left="0.24" right="0.18" top="0.38" bottom="0.43" header="0.2" footer="0.2"/>
  <pageSetup paperSize="9" scale="73" fitToHeight="0" orientation="portrait" r:id="rId1"/>
  <headerFooter>
    <oddFooter>&amp;CPage &amp;P of &amp;N&amp;RFILE PREPARED BY DILIP SISODIA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W142"/>
  <sheetViews>
    <sheetView zoomScaleSheetLayoutView="100" workbookViewId="0">
      <pane xSplit="3" ySplit="10" topLeftCell="M11" activePane="bottomRight" state="frozen"/>
      <selection pane="topRight" activeCell="D1" sqref="D1"/>
      <selection pane="bottomLeft" activeCell="A11" sqref="A11"/>
      <selection pane="bottomRight" activeCell="AD10" sqref="AD10"/>
    </sheetView>
  </sheetViews>
  <sheetFormatPr defaultColWidth="0" defaultRowHeight="21.75" zeroHeight="1"/>
  <cols>
    <col min="1" max="1" width="3.85546875" style="8" customWidth="1"/>
    <col min="2" max="2" width="9.5703125" style="8" bestFit="1" customWidth="1"/>
    <col min="3" max="3" width="26.28515625" style="8" customWidth="1"/>
    <col min="4" max="4" width="9.140625" style="8" customWidth="1"/>
    <col min="5" max="13" width="5.7109375" style="17" customWidth="1"/>
    <col min="14" max="14" width="7.42578125" style="17" customWidth="1"/>
    <col min="15" max="15" width="6.140625" style="17" customWidth="1"/>
    <col min="16" max="16" width="6.7109375" style="17" customWidth="1"/>
    <col min="17" max="17" width="6.140625" style="17" customWidth="1"/>
    <col min="18" max="18" width="6.5703125" style="17" customWidth="1"/>
    <col min="19" max="19" width="5.85546875" style="17" customWidth="1"/>
    <col min="20" max="20" width="6.140625" style="17" customWidth="1"/>
    <col min="21" max="21" width="5.7109375" style="17" customWidth="1"/>
    <col min="22" max="22" width="6.140625" style="17" customWidth="1"/>
    <col min="23" max="23" width="6.28515625" style="17" customWidth="1"/>
    <col min="24" max="24" width="5.85546875" style="17" customWidth="1"/>
    <col min="25" max="25" width="7.85546875" style="17" customWidth="1"/>
    <col min="26" max="31" width="5.7109375" style="8" customWidth="1"/>
    <col min="32" max="32" width="7.42578125" style="8" customWidth="1"/>
    <col min="33" max="33" width="7.85546875" style="8" hidden="1" customWidth="1"/>
    <col min="34" max="257" width="9.140625" style="8" hidden="1" customWidth="1"/>
    <col min="258" max="16384" width="0" style="8" hidden="1"/>
  </cols>
  <sheetData>
    <row r="1" spans="1:32" s="7" customFormat="1" ht="15" customHeight="1" thickTop="1" thickBot="1">
      <c r="A1" s="250" t="s">
        <v>14</v>
      </c>
      <c r="B1" s="250"/>
      <c r="C1" s="11">
        <f>IF('INTERACTION-PAGE'!C1="","",'INTERACTION-PAGE'!C1)</f>
        <v>70</v>
      </c>
      <c r="D1" s="50"/>
      <c r="E1" s="11">
        <f>IF('INTERACTION-PAGE'!E1="","",'INTERACTION-PAGE'!E1)</f>
        <v>3</v>
      </c>
      <c r="F1" s="19"/>
      <c r="G1" s="238" t="s">
        <v>57</v>
      </c>
      <c r="H1" s="239"/>
      <c r="I1" s="239"/>
      <c r="J1" s="239"/>
      <c r="K1" s="239"/>
      <c r="L1" s="239"/>
      <c r="M1" s="240"/>
      <c r="N1" s="11">
        <f>IF('INTERACTION-PAGE'!N1="","",'INTERACTION-PAGE'!N1)</f>
        <v>30</v>
      </c>
      <c r="O1" s="42"/>
      <c r="P1" s="42"/>
      <c r="Q1" s="42"/>
      <c r="R1" s="42"/>
      <c r="S1" s="42"/>
      <c r="T1" s="42"/>
      <c r="U1" s="42"/>
      <c r="V1" s="42"/>
      <c r="W1" s="42"/>
      <c r="X1" s="42"/>
      <c r="Y1" s="247"/>
      <c r="Z1" s="248"/>
      <c r="AA1" s="248"/>
      <c r="AB1" s="248"/>
      <c r="AC1" s="248"/>
      <c r="AD1" s="248"/>
      <c r="AE1" s="248"/>
    </row>
    <row r="2" spans="1:32" s="7" customFormat="1" ht="20.100000000000001" customHeight="1" thickTop="1" thickBot="1">
      <c r="A2" s="250"/>
      <c r="B2" s="250"/>
      <c r="C2" s="11">
        <f>IF('INTERACTION-PAGE'!C2="","",'INTERACTION-PAGE'!C2)</f>
        <v>60</v>
      </c>
      <c r="D2" s="50"/>
      <c r="E2" s="11">
        <f>IF('INTERACTION-PAGE'!E2="","",'INTERACTION-PAGE'!E2)</f>
        <v>2</v>
      </c>
      <c r="F2" s="20">
        <f>C1-C2</f>
        <v>10</v>
      </c>
      <c r="G2" s="238" t="s">
        <v>51</v>
      </c>
      <c r="H2" s="239"/>
      <c r="I2" s="239"/>
      <c r="J2" s="239"/>
      <c r="K2" s="239"/>
      <c r="L2" s="239"/>
      <c r="M2" s="240"/>
      <c r="N2" s="11">
        <f>IF('INTERACTION-PAGE'!N2="","",'INTERACTION-PAGE'!N2)</f>
        <v>50</v>
      </c>
      <c r="O2" s="42"/>
      <c r="P2" s="42"/>
      <c r="Q2" s="42"/>
      <c r="R2" s="42"/>
      <c r="S2" s="42"/>
      <c r="T2" s="42"/>
      <c r="U2" s="42"/>
      <c r="V2" s="42"/>
      <c r="W2" s="42"/>
      <c r="X2" s="42"/>
      <c r="Y2" s="247"/>
      <c r="Z2" s="248"/>
      <c r="AA2" s="248"/>
      <c r="AB2" s="248"/>
      <c r="AC2" s="248"/>
      <c r="AD2" s="248"/>
      <c r="AE2" s="248"/>
    </row>
    <row r="3" spans="1:32" s="7" customFormat="1" ht="19.5" thickTop="1" thickBot="1">
      <c r="A3" s="250"/>
      <c r="B3" s="250"/>
      <c r="C3" s="11">
        <f>IF('INTERACTION-PAGE'!C3="","",'INTERACTION-PAGE'!C3)</f>
        <v>50</v>
      </c>
      <c r="D3" s="50"/>
      <c r="E3" s="11">
        <f>IF('INTERACTION-PAGE'!E3="","",'INTERACTION-PAGE'!E3)</f>
        <v>1</v>
      </c>
      <c r="F3" s="20">
        <f>C2-C3</f>
        <v>10</v>
      </c>
      <c r="G3" s="251" t="s">
        <v>41</v>
      </c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51"/>
      <c r="AE3" s="251"/>
    </row>
    <row r="4" spans="1:32" ht="23.25" thickTop="1" thickBot="1">
      <c r="A4" s="241" t="str">
        <f>IF('INTERACTION-PAGE'!A4="","",'INTERACTION-PAGE'!A4)</f>
        <v>TEZPUR UNIVERSITY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3"/>
    </row>
    <row r="5" spans="1:32" ht="17.25" customHeight="1" thickTop="1" thickBot="1">
      <c r="A5" s="156" t="s">
        <v>0</v>
      </c>
      <c r="B5" s="157"/>
      <c r="C5" s="244" t="str">
        <f>IF('INTERACTION-PAGE'!C5="","",'INTERACTION-PAGE'!C5)</f>
        <v>S S Satapathy</v>
      </c>
      <c r="D5" s="244"/>
      <c r="E5" s="244"/>
      <c r="F5" s="244"/>
      <c r="G5" s="157" t="s">
        <v>37</v>
      </c>
      <c r="H5" s="157"/>
      <c r="I5" s="245" t="str">
        <f>IF('INTERACTION-PAGE'!I5="","",'INTERACTION-PAGE'!I5)</f>
        <v>FET and Design</v>
      </c>
      <c r="J5" s="245"/>
      <c r="K5" s="245"/>
      <c r="L5" s="245"/>
      <c r="M5" s="245"/>
      <c r="N5" s="157" t="s">
        <v>1</v>
      </c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252" t="str">
        <f>IF('INTERACTION-PAGE'!Z5="","",'INTERACTION-PAGE'!Z5)</f>
        <v>Programming for Problem Solving</v>
      </c>
      <c r="AA5" s="252"/>
      <c r="AB5" s="252"/>
      <c r="AC5" s="252"/>
      <c r="AD5" s="252"/>
      <c r="AE5" s="253"/>
    </row>
    <row r="6" spans="1:32" ht="15.75" customHeight="1">
      <c r="A6" s="160" t="s">
        <v>75</v>
      </c>
      <c r="B6" s="161"/>
      <c r="C6" s="43" t="str">
        <f>IF('INTERACTION-PAGE'!C6="","",'INTERACTION-PAGE'!C6)</f>
        <v>B. Tech</v>
      </c>
      <c r="D6" s="43"/>
      <c r="E6" s="161" t="s">
        <v>2</v>
      </c>
      <c r="F6" s="161"/>
      <c r="G6" s="162" t="str">
        <f>IF('INTERACTION-PAGE'!G6="","",'INTERACTION-PAGE'!G6)</f>
        <v>I</v>
      </c>
      <c r="H6" s="162"/>
      <c r="I6" s="161" t="s">
        <v>33</v>
      </c>
      <c r="J6" s="161"/>
      <c r="K6" s="162">
        <f>IF('INTERACTION-PAGE'!K6="","",'INTERACTION-PAGE'!K6)</f>
        <v>1</v>
      </c>
      <c r="L6" s="162"/>
      <c r="M6" s="161" t="s">
        <v>84</v>
      </c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2" t="str">
        <f>IF('INTERACTION-PAGE'!Z6="","",'INTERACTION-PAGE'!Z6)</f>
        <v>CSBT100</v>
      </c>
      <c r="AA6" s="162"/>
      <c r="AB6" s="246" t="s">
        <v>3</v>
      </c>
      <c r="AC6" s="246"/>
      <c r="AD6" s="162" t="str">
        <f>IF('INTERACTION-PAGE'!AD6="","",'INTERACTION-PAGE'!AD6)</f>
        <v>Autumn 2024</v>
      </c>
      <c r="AE6" s="249"/>
      <c r="AF6" s="9" t="s">
        <v>42</v>
      </c>
    </row>
    <row r="7" spans="1:32">
      <c r="A7" s="44"/>
      <c r="B7" s="44"/>
      <c r="C7" s="44"/>
      <c r="D7" s="47"/>
      <c r="E7" s="229" t="s">
        <v>88</v>
      </c>
      <c r="F7" s="230"/>
      <c r="G7" s="230"/>
      <c r="H7" s="230"/>
      <c r="I7" s="231"/>
      <c r="J7" s="229" t="s">
        <v>87</v>
      </c>
      <c r="K7" s="230"/>
      <c r="L7" s="230"/>
      <c r="M7" s="230"/>
      <c r="N7" s="231"/>
      <c r="O7" s="229" t="s">
        <v>86</v>
      </c>
      <c r="P7" s="230"/>
      <c r="Q7" s="230"/>
      <c r="R7" s="230"/>
      <c r="S7" s="231"/>
      <c r="T7" s="229" t="s">
        <v>85</v>
      </c>
      <c r="U7" s="230"/>
      <c r="V7" s="230"/>
      <c r="W7" s="230"/>
      <c r="X7" s="231"/>
      <c r="Y7" s="44"/>
      <c r="Z7" s="229"/>
      <c r="AA7" s="230"/>
      <c r="AB7" s="230"/>
      <c r="AC7" s="230"/>
      <c r="AD7" s="230"/>
      <c r="AE7" s="231"/>
      <c r="AF7" s="9" t="s">
        <v>43</v>
      </c>
    </row>
    <row r="8" spans="1:32" ht="15.75" customHeight="1" thickBot="1">
      <c r="A8" s="232" t="s">
        <v>4</v>
      </c>
      <c r="B8" s="234" t="s">
        <v>83</v>
      </c>
      <c r="C8" s="236" t="s">
        <v>5</v>
      </c>
      <c r="D8" s="262" t="s">
        <v>49</v>
      </c>
      <c r="E8" s="226" t="s">
        <v>47</v>
      </c>
      <c r="F8" s="227"/>
      <c r="G8" s="227"/>
      <c r="H8" s="228"/>
      <c r="I8" s="48">
        <f>SUM(E10:I10)</f>
        <v>60</v>
      </c>
      <c r="J8" s="226" t="s">
        <v>47</v>
      </c>
      <c r="K8" s="227"/>
      <c r="L8" s="227"/>
      <c r="M8" s="228"/>
      <c r="N8" s="48">
        <f>SUM(J10:N10)</f>
        <v>40</v>
      </c>
      <c r="O8" s="226" t="s">
        <v>47</v>
      </c>
      <c r="P8" s="227"/>
      <c r="Q8" s="227"/>
      <c r="R8" s="228"/>
      <c r="S8" s="48">
        <f>SUM(O10:S10)</f>
        <v>0</v>
      </c>
      <c r="T8" s="226" t="s">
        <v>47</v>
      </c>
      <c r="U8" s="227"/>
      <c r="V8" s="227"/>
      <c r="W8" s="228"/>
      <c r="X8" s="48">
        <f>SUM(T10:X10)</f>
        <v>25</v>
      </c>
      <c r="Y8" s="41" t="s">
        <v>48</v>
      </c>
      <c r="Z8" s="41" t="s">
        <v>6</v>
      </c>
      <c r="AA8" s="41" t="s">
        <v>7</v>
      </c>
      <c r="AB8" s="41" t="s">
        <v>8</v>
      </c>
      <c r="AC8" s="41" t="s">
        <v>9</v>
      </c>
      <c r="AD8" s="41" t="s">
        <v>10</v>
      </c>
      <c r="AE8" s="41" t="s">
        <v>11</v>
      </c>
      <c r="AF8" s="9" t="s">
        <v>44</v>
      </c>
    </row>
    <row r="9" spans="1:32" ht="14.25" customHeight="1" thickTop="1" thickBot="1">
      <c r="A9" s="232"/>
      <c r="B9" s="234"/>
      <c r="C9" s="237"/>
      <c r="D9" s="263"/>
      <c r="E9" s="41" t="s">
        <v>6</v>
      </c>
      <c r="F9" s="41" t="s">
        <v>7</v>
      </c>
      <c r="G9" s="41" t="s">
        <v>8</v>
      </c>
      <c r="H9" s="41" t="s">
        <v>9</v>
      </c>
      <c r="I9" s="41" t="s">
        <v>10</v>
      </c>
      <c r="J9" s="41" t="s">
        <v>6</v>
      </c>
      <c r="K9" s="41" t="s">
        <v>7</v>
      </c>
      <c r="L9" s="41" t="s">
        <v>8</v>
      </c>
      <c r="M9" s="41" t="s">
        <v>9</v>
      </c>
      <c r="N9" s="41" t="s">
        <v>10</v>
      </c>
      <c r="O9" s="41" t="s">
        <v>6</v>
      </c>
      <c r="P9" s="41" t="s">
        <v>7</v>
      </c>
      <c r="Q9" s="41" t="s">
        <v>8</v>
      </c>
      <c r="R9" s="41" t="s">
        <v>9</v>
      </c>
      <c r="S9" s="41" t="s">
        <v>10</v>
      </c>
      <c r="T9" s="41" t="s">
        <v>6</v>
      </c>
      <c r="U9" s="41" t="s">
        <v>7</v>
      </c>
      <c r="V9" s="41" t="s">
        <v>8</v>
      </c>
      <c r="W9" s="41" t="s">
        <v>9</v>
      </c>
      <c r="X9" s="21" t="s">
        <v>10</v>
      </c>
      <c r="Y9" s="6" t="s">
        <v>12</v>
      </c>
      <c r="Z9" s="6" t="s">
        <v>12</v>
      </c>
      <c r="AA9" s="6" t="s">
        <v>12</v>
      </c>
      <c r="AB9" s="6" t="s">
        <v>12</v>
      </c>
      <c r="AC9" s="6" t="s">
        <v>12</v>
      </c>
      <c r="AD9" s="6" t="s">
        <v>12</v>
      </c>
      <c r="AE9" s="21" t="s">
        <v>12</v>
      </c>
    </row>
    <row r="10" spans="1:32" ht="13.5" customHeight="1" thickTop="1" thickBot="1">
      <c r="A10" s="233"/>
      <c r="B10" s="235"/>
      <c r="C10" s="5" t="s">
        <v>36</v>
      </c>
      <c r="D10" s="5" t="s">
        <v>50</v>
      </c>
      <c r="E10" s="11">
        <f>IF('INTERACTION-PAGE'!E10="","",'INTERACTION-PAGE'!E10)</f>
        <v>0</v>
      </c>
      <c r="F10" s="11">
        <f>IF('INTERACTION-PAGE'!F10="","",'INTERACTION-PAGE'!F10)</f>
        <v>5</v>
      </c>
      <c r="G10" s="11">
        <f>IF('INTERACTION-PAGE'!G10="","",'INTERACTION-PAGE'!G10)</f>
        <v>20</v>
      </c>
      <c r="H10" s="11">
        <f>IF('INTERACTION-PAGE'!H10="","",'INTERACTION-PAGE'!H10)</f>
        <v>35</v>
      </c>
      <c r="I10" s="11">
        <f>IF('INTERACTION-PAGE'!I10="","",'INTERACTION-PAGE'!I10)</f>
        <v>0</v>
      </c>
      <c r="J10" s="11">
        <f>IF('INTERACTION-PAGE'!J10="","",'INTERACTION-PAGE'!J10)</f>
        <v>5</v>
      </c>
      <c r="K10" s="11">
        <f>IF('INTERACTION-PAGE'!K10="","",'INTERACTION-PAGE'!K10)</f>
        <v>10</v>
      </c>
      <c r="L10" s="11">
        <f>IF('INTERACTION-PAGE'!L10="","",'INTERACTION-PAGE'!L10)</f>
        <v>15</v>
      </c>
      <c r="M10" s="11">
        <f>IF('INTERACTION-PAGE'!M10="","",'INTERACTION-PAGE'!M10)</f>
        <v>10</v>
      </c>
      <c r="N10" s="11">
        <f>IF('INTERACTION-PAGE'!N10="","",'INTERACTION-PAGE'!N10)</f>
        <v>0</v>
      </c>
      <c r="O10" s="11">
        <f>IF('INTERACTION-PAGE'!O10="","",'INTERACTION-PAGE'!O10)</f>
        <v>0</v>
      </c>
      <c r="P10" s="11">
        <f>IF('INTERACTION-PAGE'!P10="","",'INTERACTION-PAGE'!P10)</f>
        <v>0</v>
      </c>
      <c r="Q10" s="11">
        <f>IF('INTERACTION-PAGE'!Q10="","",'INTERACTION-PAGE'!Q10)</f>
        <v>0</v>
      </c>
      <c r="R10" s="11">
        <f>IF('INTERACTION-PAGE'!R10="","",'INTERACTION-PAGE'!R10)</f>
        <v>0</v>
      </c>
      <c r="S10" s="11">
        <f>IF('INTERACTION-PAGE'!S10="","",'INTERACTION-PAGE'!S10)</f>
        <v>0</v>
      </c>
      <c r="T10" s="11">
        <f>IF('INTERACTION-PAGE'!T10="","",'INTERACTION-PAGE'!T10)</f>
        <v>25</v>
      </c>
      <c r="U10" s="11">
        <f>IF('INTERACTION-PAGE'!U10="","",'INTERACTION-PAGE'!U10)</f>
        <v>0</v>
      </c>
      <c r="V10" s="11">
        <f>IF('INTERACTION-PAGE'!V10="","",'INTERACTION-PAGE'!V10)</f>
        <v>0</v>
      </c>
      <c r="W10" s="11">
        <f>IF('INTERACTION-PAGE'!W10="","",'INTERACTION-PAGE'!W10)</f>
        <v>0</v>
      </c>
      <c r="X10" s="11">
        <f>IF('INTERACTION-PAGE'!X10="","",'INTERACTION-PAGE'!X10)</f>
        <v>0</v>
      </c>
      <c r="Y10" s="49">
        <f>100 * SUM(E10:X10) / SUM(I$8, N$8, S$8, X$8)</f>
        <v>100</v>
      </c>
      <c r="Z10" s="6">
        <f>IF((E10+J10+O10+T10)&gt;0,100,"")</f>
        <v>100</v>
      </c>
      <c r="AA10" s="6">
        <f t="shared" ref="AA10:AD10" si="0">IF((F10+K10+P10+U10)&gt;0,100,"")</f>
        <v>100</v>
      </c>
      <c r="AB10" s="6">
        <f t="shared" si="0"/>
        <v>100</v>
      </c>
      <c r="AC10" s="6">
        <f t="shared" si="0"/>
        <v>100</v>
      </c>
      <c r="AD10" s="6" t="str">
        <f t="shared" si="0"/>
        <v/>
      </c>
      <c r="AE10" s="21">
        <f>IFERROR(AVERAGE(Z10:AD10),"")</f>
        <v>100</v>
      </c>
    </row>
    <row r="11" spans="1:32" ht="15" customHeight="1" thickTop="1">
      <c r="A11" s="2">
        <v>1</v>
      </c>
      <c r="B11" s="11" t="str">
        <f>IF('INTERACTION-PAGE'!B11="","",'INTERACTION-PAGE'!B11)</f>
        <v>FEB24020</v>
      </c>
      <c r="C11" s="11" t="str">
        <f>IF('INTERACTION-PAGE'!C11="","",'INTERACTION-PAGE'!C11)</f>
        <v>Pallabi Adhikari</v>
      </c>
      <c r="D11" s="11" t="str">
        <f>IF('INTERACTION-PAGE'!D11="","",'INTERACTION-PAGE'!D11)</f>
        <v/>
      </c>
      <c r="E11" s="11">
        <f>IF('INTERACTION-PAGE'!E11="","",'INTERACTION-PAGE'!E11)</f>
        <v>0</v>
      </c>
      <c r="F11" s="11">
        <f>IF('INTERACTION-PAGE'!F11="","",'INTERACTION-PAGE'!F11)</f>
        <v>5</v>
      </c>
      <c r="G11" s="11">
        <f>IF('INTERACTION-PAGE'!G11="","",'INTERACTION-PAGE'!G11)</f>
        <v>11</v>
      </c>
      <c r="H11" s="11">
        <f>IF('INTERACTION-PAGE'!H11="","",'INTERACTION-PAGE'!H11)</f>
        <v>16</v>
      </c>
      <c r="I11" s="11">
        <f>IF('INTERACTION-PAGE'!I11="","",'INTERACTION-PAGE'!I11)</f>
        <v>0</v>
      </c>
      <c r="J11" s="11">
        <f>IF('INTERACTION-PAGE'!J11="","",'INTERACTION-PAGE'!J11)</f>
        <v>3.5</v>
      </c>
      <c r="K11" s="11">
        <f>IF('INTERACTION-PAGE'!K11="","",'INTERACTION-PAGE'!K11)</f>
        <v>8.5</v>
      </c>
      <c r="L11" s="11">
        <f>IF('INTERACTION-PAGE'!L11="","",'INTERACTION-PAGE'!L11)</f>
        <v>8</v>
      </c>
      <c r="M11" s="11">
        <f>IF('INTERACTION-PAGE'!M11="","",'INTERACTION-PAGE'!M11)</f>
        <v>4</v>
      </c>
      <c r="N11" s="11">
        <f>IF('INTERACTION-PAGE'!N11="","",'INTERACTION-PAGE'!N11)</f>
        <v>0</v>
      </c>
      <c r="O11" s="11">
        <f>IF('INTERACTION-PAGE'!O11="","",'INTERACTION-PAGE'!O11)</f>
        <v>0</v>
      </c>
      <c r="P11" s="11">
        <f>IF('INTERACTION-PAGE'!P11="","",'INTERACTION-PAGE'!P11)</f>
        <v>0</v>
      </c>
      <c r="Q11" s="11">
        <f>IF('INTERACTION-PAGE'!Q11="","",'INTERACTION-PAGE'!Q11)</f>
        <v>0</v>
      </c>
      <c r="R11" s="11">
        <f>IF('INTERACTION-PAGE'!R11="","",'INTERACTION-PAGE'!R11)</f>
        <v>0</v>
      </c>
      <c r="S11" s="11">
        <f>IF('INTERACTION-PAGE'!S11="","",'INTERACTION-PAGE'!S11)</f>
        <v>0</v>
      </c>
      <c r="T11" s="11">
        <f>IF('INTERACTION-PAGE'!T11="","",'INTERACTION-PAGE'!T11)</f>
        <v>22</v>
      </c>
      <c r="U11" s="11">
        <f>IF('INTERACTION-PAGE'!U11="","",'INTERACTION-PAGE'!U11)</f>
        <v>0</v>
      </c>
      <c r="V11" s="11">
        <f>IF('INTERACTION-PAGE'!V11="","",'INTERACTION-PAGE'!V11)</f>
        <v>0</v>
      </c>
      <c r="W11" s="11">
        <f>IF('INTERACTION-PAGE'!W11="","",'INTERACTION-PAGE'!W11)</f>
        <v>0</v>
      </c>
      <c r="X11" s="11">
        <f>IF('INTERACTION-PAGE'!X11="","",'INTERACTION-PAGE'!X11)</f>
        <v>0</v>
      </c>
      <c r="Y11" s="27">
        <f>IF(OR( $B11="", $B11="AB", $B11="UR", $C11="", $C11="AB", $C11="UR", $D11="AB", $D11="UR"),"",(IF(OR(I$8&gt;0,N$8&gt;0,S$8&gt;0,X$8&gt;0),(100*SUM($E11:$X11)/(I$8+N$8+S$8+X$8))," ")))</f>
        <v>62.4</v>
      </c>
      <c r="Z11" s="27">
        <f>IF(OR( $B11="", $B11="AB", $B11="UR", $C11="", $C11="AB", $C11="UR", $D11="AB", $D11="UR"),"",(IF(OR(E$10&gt;0,J$10&gt;0,O$10&gt;0,T$10&gt;0),(Z$10*(IF(AND(E$10&gt;0), IF(OR(E11="", E11="AB",E11="UR"),0,E11),0) +IF(AND(J$10&gt;0), IF(OR(J11="",J11="AB",J11=""),0,J11),0)+IF(AND(O$10&gt;0), IF(OR(O11="", O11="AB",O11="UR"),0,O11),0)+IF(AND(T$10&gt;0), IF(OR(T11="",T11="AB",T11="UR"),0,T11),0))/(E$10+J$10+O$10+T$10))," ")))</f>
        <v>85</v>
      </c>
      <c r="AA11" s="27">
        <f t="shared" ref="AA11:AD11" si="1">IF(OR( $B11="", $B11="AB", $B11="UR", $C11="", $C11="AB", $C11="UR", $D11="AB", $D11="UR"),"",(IF(OR(F$10&gt;0,K$10&gt;0,P$10&gt;0,U$10&gt;0),(AA$10*(IF(AND(F$10&gt;0), IF(OR(F11="", F11="AB",F11="UR"),0,F11),0) +IF(AND(K$10&gt;0), IF(OR(K11="",K11="AB",K11=""),0,K11),0)+IF(AND(P$10&gt;0), IF(OR(P11="", P11="AB",P11="UR"),0,P11),0)+IF(AND(U$10&gt;0), IF(OR(U11="",U11="AB",U11="UR"),0,U11),0))/(F$10+K$10+P$10+U$10))," ")))</f>
        <v>90</v>
      </c>
      <c r="AB11" s="27">
        <f t="shared" si="1"/>
        <v>54.285714285714285</v>
      </c>
      <c r="AC11" s="27">
        <f t="shared" si="1"/>
        <v>44.444444444444443</v>
      </c>
      <c r="AD11" s="27" t="str">
        <f t="shared" si="1"/>
        <v xml:space="preserve"> </v>
      </c>
      <c r="AE11" s="28">
        <f t="shared" ref="AE11:AE42" si="2">IF(C11="","",IFERROR(AVERAGE(Z11:AD11),""))</f>
        <v>68.432539682539684</v>
      </c>
    </row>
    <row r="12" spans="1:32" ht="15" customHeight="1">
      <c r="A12" s="3">
        <v>2</v>
      </c>
      <c r="B12" s="11" t="str">
        <f>IF('INTERACTION-PAGE'!B12="","",'INTERACTION-PAGE'!B12)</f>
        <v>FEB24023</v>
      </c>
      <c r="C12" s="11" t="str">
        <f>IF('INTERACTION-PAGE'!C12="","",'INTERACTION-PAGE'!C12)</f>
        <v>Bhabani Sankar Nath</v>
      </c>
      <c r="D12" s="11" t="str">
        <f>IF('INTERACTION-PAGE'!D12="","",'INTERACTION-PAGE'!D12)</f>
        <v/>
      </c>
      <c r="E12" s="11">
        <f>IF('INTERACTION-PAGE'!E12="","",'INTERACTION-PAGE'!E12)</f>
        <v>0</v>
      </c>
      <c r="F12" s="11">
        <f>IF('INTERACTION-PAGE'!F12="","",'INTERACTION-PAGE'!F12)</f>
        <v>0</v>
      </c>
      <c r="G12" s="11">
        <f>IF('INTERACTION-PAGE'!G12="","",'INTERACTION-PAGE'!G12)</f>
        <v>11</v>
      </c>
      <c r="H12" s="11">
        <f>IF('INTERACTION-PAGE'!H12="","",'INTERACTION-PAGE'!H12)</f>
        <v>8</v>
      </c>
      <c r="I12" s="11">
        <f>IF('INTERACTION-PAGE'!I12="","",'INTERACTION-PAGE'!I12)</f>
        <v>0</v>
      </c>
      <c r="J12" s="11">
        <f>IF('INTERACTION-PAGE'!J12="","",'INTERACTION-PAGE'!J12)</f>
        <v>3</v>
      </c>
      <c r="K12" s="11">
        <f>IF('INTERACTION-PAGE'!K12="","",'INTERACTION-PAGE'!K12)</f>
        <v>5.5</v>
      </c>
      <c r="L12" s="11">
        <f>IF('INTERACTION-PAGE'!L12="","",'INTERACTION-PAGE'!L12)</f>
        <v>4</v>
      </c>
      <c r="M12" s="11">
        <f>IF('INTERACTION-PAGE'!M12="","",'INTERACTION-PAGE'!M12)</f>
        <v>2</v>
      </c>
      <c r="N12" s="11">
        <f>IF('INTERACTION-PAGE'!N12="","",'INTERACTION-PAGE'!N12)</f>
        <v>0</v>
      </c>
      <c r="O12" s="11">
        <f>IF('INTERACTION-PAGE'!O12="","",'INTERACTION-PAGE'!O12)</f>
        <v>0</v>
      </c>
      <c r="P12" s="11">
        <f>IF('INTERACTION-PAGE'!P12="","",'INTERACTION-PAGE'!P12)</f>
        <v>0</v>
      </c>
      <c r="Q12" s="11">
        <f>IF('INTERACTION-PAGE'!Q12="","",'INTERACTION-PAGE'!Q12)</f>
        <v>0</v>
      </c>
      <c r="R12" s="11">
        <f>IF('INTERACTION-PAGE'!R12="","",'INTERACTION-PAGE'!R12)</f>
        <v>0</v>
      </c>
      <c r="S12" s="11">
        <f>IF('INTERACTION-PAGE'!S12="","",'INTERACTION-PAGE'!S12)</f>
        <v>0</v>
      </c>
      <c r="T12" s="11">
        <f>IF('INTERACTION-PAGE'!T12="","",'INTERACTION-PAGE'!T12)</f>
        <v>20</v>
      </c>
      <c r="U12" s="11">
        <f>IF('INTERACTION-PAGE'!U12="","",'INTERACTION-PAGE'!U12)</f>
        <v>0</v>
      </c>
      <c r="V12" s="11">
        <f>IF('INTERACTION-PAGE'!V12="","",'INTERACTION-PAGE'!V12)</f>
        <v>0</v>
      </c>
      <c r="W12" s="11">
        <f>IF('INTERACTION-PAGE'!W12="","",'INTERACTION-PAGE'!W12)</f>
        <v>0</v>
      </c>
      <c r="X12" s="11">
        <f>IF('INTERACTION-PAGE'!X12="","",'INTERACTION-PAGE'!X12)</f>
        <v>0</v>
      </c>
      <c r="Y12" s="27">
        <f t="shared" ref="Y12:Y75" si="3">IF(OR( $B12="", $B12="AB", $B12="UR", $C12="", $C12="AB", $C12="UR", $D12="AB", $D12="UR"),"",(IF(OR(I$8&gt;0,N$8&gt;0,S$8&gt;0,X$8&gt;0),(100*SUM(E12:X12)/(I$8+N$8+S$8+X$8))," ")))</f>
        <v>42.8</v>
      </c>
      <c r="Z12" s="27">
        <f>IF(OR( $B12="", $B12="AB", $B12="UR", $C12="", $C12="AB", $C12="UR", $D12="AB", $D12="UR"),"",(IF(OR(E$10&gt;0,J$10&gt;0,O$10&gt;0,T$10&gt;0),(Z$10*(IF(AND(E$10&gt;0), IF(OR(E12="", E12="AB",E12="UR"),0,E12),0) +IF(AND(J$10&gt;0), IF(OR(J12="",J12="AB",J12=""),0,J12),0)+IF(AND(O$10&gt;0), IF(OR(O12="", O12="AB",O12="UR"),0,O12),0)+IF(AND(T$10&gt;0), IF(OR(T12="",T12="AB",T12="UR"),0,T12),0))/(E$10+J$10+O$10+T$10))," ")))</f>
        <v>76.666666666666671</v>
      </c>
      <c r="AA12" s="27">
        <f t="shared" ref="AA12:AA75" si="4">IF(OR( $B12="", $B12="AB", $B12="UR", $C12="", $C12="AB", $C12="UR", $D12="AB", $D12="UR"),"",(IF(OR(F$10&gt;0,K$10&gt;0,P$10&gt;0,U$10&gt;0),(AA$10*(IF(AND(F$10&gt;0), IF(OR(F12="", F12="AB",F12="UR"),0,F12),0) +IF(AND(K$10&gt;0), IF(OR(K12="",K12="AB",K12=""),0,K12),0)+IF(AND(P$10&gt;0), IF(OR(P12="", P12="AB",P12="UR"),0,P12),0)+IF(AND(U$10&gt;0), IF(OR(U12="",U12="AB",U12="UR"),0,U12),0))/(F$10+K$10+P$10+U$10))," ")))</f>
        <v>36.666666666666664</v>
      </c>
      <c r="AB12" s="27">
        <f t="shared" ref="AB12:AB75" si="5">IF(OR( $B12="", $B12="AB", $B12="UR", $C12="", $C12="AB", $C12="UR", $D12="AB", $D12="UR"),"",(IF(OR(G$10&gt;0,L$10&gt;0,Q$10&gt;0,V$10&gt;0),(AB$10*(IF(AND(G$10&gt;0), IF(OR(G12="", G12="AB",G12="UR"),0,G12),0) +IF(AND(L$10&gt;0), IF(OR(L12="",L12="AB",L12=""),0,L12),0)+IF(AND(Q$10&gt;0), IF(OR(Q12="", Q12="AB",Q12="UR"),0,Q12),0)+IF(AND(V$10&gt;0), IF(OR(V12="",V12="AB",V12="UR"),0,V12),0))/(G$10+L$10+Q$10+V$10))," ")))</f>
        <v>42.857142857142854</v>
      </c>
      <c r="AC12" s="27">
        <f t="shared" ref="AC12:AC75" si="6">IF(OR( $B12="", $B12="AB", $B12="UR", $C12="", $C12="AB", $C12="UR", $D12="AB", $D12="UR"),"",(IF(OR(H$10&gt;0,M$10&gt;0,R$10&gt;0,W$10&gt;0),(AC$10*(IF(AND(H$10&gt;0), IF(OR(H12="", H12="AB",H12="UR"),0,H12),0) +IF(AND(M$10&gt;0), IF(OR(M12="",M12="AB",M12=""),0,M12),0)+IF(AND(R$10&gt;0), IF(OR(R12="", R12="AB",R12="UR"),0,R12),0)+IF(AND(W$10&gt;0), IF(OR(W12="",W12="AB",W12="UR"),0,W12),0))/(H$10+M$10+R$10+W$10))," ")))</f>
        <v>22.222222222222221</v>
      </c>
      <c r="AD12" s="27" t="str">
        <f t="shared" ref="AD12:AD75" si="7">IF(OR( $B12="", $B12="AB", $B12="UR", $C12="", $C12="AB", $C12="UR", $D12="AB", $D12="UR"),"",(IF(OR(I$10&gt;0,N$10&gt;0,S$10&gt;0,X$10&gt;0),(AD$10*(IF(AND(I$10&gt;0), IF(OR(I12="", I12="AB",I12="UR"),0,I12),0) +IF(AND(N$10&gt;0), IF(OR(N12="",N12="AB",N12=""),0,N12),0)+IF(AND(S$10&gt;0), IF(OR(S12="", S12="AB",S12="UR"),0,S12),0)+IF(AND(X$10&gt;0), IF(OR(X12="",X12="AB",X12="UR"),0,X12),0))/(I$10+N$10+S$10+X$10))," ")))</f>
        <v xml:space="preserve"> </v>
      </c>
      <c r="AE12" s="28">
        <f t="shared" si="2"/>
        <v>44.603174603174608</v>
      </c>
    </row>
    <row r="13" spans="1:32" ht="15" customHeight="1">
      <c r="A13" s="2">
        <v>3</v>
      </c>
      <c r="B13" s="11" t="str">
        <f>IF('INTERACTION-PAGE'!B13="","",'INTERACTION-PAGE'!B13)</f>
        <v>FEB24025</v>
      </c>
      <c r="C13" s="11" t="str">
        <f>IF('INTERACTION-PAGE'!C13="","",'INTERACTION-PAGE'!C13)</f>
        <v>Akash Deep Chetia</v>
      </c>
      <c r="D13" s="11" t="str">
        <f>IF('INTERACTION-PAGE'!D13="","",'INTERACTION-PAGE'!D13)</f>
        <v/>
      </c>
      <c r="E13" s="11">
        <f>IF('INTERACTION-PAGE'!E13="","",'INTERACTION-PAGE'!E13)</f>
        <v>0</v>
      </c>
      <c r="F13" s="11">
        <f>IF('INTERACTION-PAGE'!F13="","",'INTERACTION-PAGE'!F13)</f>
        <v>0</v>
      </c>
      <c r="G13" s="11">
        <f>IF('INTERACTION-PAGE'!G13="","",'INTERACTION-PAGE'!G13)</f>
        <v>12</v>
      </c>
      <c r="H13" s="11">
        <f>IF('INTERACTION-PAGE'!H13="","",'INTERACTION-PAGE'!H13)</f>
        <v>22</v>
      </c>
      <c r="I13" s="11">
        <f>IF('INTERACTION-PAGE'!I13="","",'INTERACTION-PAGE'!I13)</f>
        <v>0</v>
      </c>
      <c r="J13" s="11">
        <f>IF('INTERACTION-PAGE'!J13="","",'INTERACTION-PAGE'!J13)</f>
        <v>2</v>
      </c>
      <c r="K13" s="11">
        <f>IF('INTERACTION-PAGE'!K13="","",'INTERACTION-PAGE'!K13)</f>
        <v>10</v>
      </c>
      <c r="L13" s="11">
        <f>IF('INTERACTION-PAGE'!L13="","",'INTERACTION-PAGE'!L13)</f>
        <v>7</v>
      </c>
      <c r="M13" s="11">
        <f>IF('INTERACTION-PAGE'!M13="","",'INTERACTION-PAGE'!M13)</f>
        <v>6</v>
      </c>
      <c r="N13" s="11">
        <f>IF('INTERACTION-PAGE'!N13="","",'INTERACTION-PAGE'!N13)</f>
        <v>0</v>
      </c>
      <c r="O13" s="11">
        <f>IF('INTERACTION-PAGE'!O13="","",'INTERACTION-PAGE'!O13)</f>
        <v>0</v>
      </c>
      <c r="P13" s="11">
        <f>IF('INTERACTION-PAGE'!P13="","",'INTERACTION-PAGE'!P13)</f>
        <v>0</v>
      </c>
      <c r="Q13" s="11">
        <f>IF('INTERACTION-PAGE'!Q13="","",'INTERACTION-PAGE'!Q13)</f>
        <v>0</v>
      </c>
      <c r="R13" s="11">
        <f>IF('INTERACTION-PAGE'!R13="","",'INTERACTION-PAGE'!R13)</f>
        <v>0</v>
      </c>
      <c r="S13" s="11">
        <f>IF('INTERACTION-PAGE'!S13="","",'INTERACTION-PAGE'!S13)</f>
        <v>0</v>
      </c>
      <c r="T13" s="11">
        <f>IF('INTERACTION-PAGE'!T13="","",'INTERACTION-PAGE'!T13)</f>
        <v>21</v>
      </c>
      <c r="U13" s="11">
        <f>IF('INTERACTION-PAGE'!U13="","",'INTERACTION-PAGE'!U13)</f>
        <v>0</v>
      </c>
      <c r="V13" s="11">
        <f>IF('INTERACTION-PAGE'!V13="","",'INTERACTION-PAGE'!V13)</f>
        <v>0</v>
      </c>
      <c r="W13" s="11">
        <f>IF('INTERACTION-PAGE'!W13="","",'INTERACTION-PAGE'!W13)</f>
        <v>0</v>
      </c>
      <c r="X13" s="11">
        <f>IF('INTERACTION-PAGE'!X13="","",'INTERACTION-PAGE'!X13)</f>
        <v>0</v>
      </c>
      <c r="Y13" s="27">
        <f t="shared" si="3"/>
        <v>64</v>
      </c>
      <c r="Z13" s="27">
        <f t="shared" ref="Z13:Z75" si="8">IF(OR( $B13="", $B13="AB", $B13="UR", $C13="", $C13="AB", $C13="UR", $D13="AB", $D13="UR"),"",(IF(OR(E$10&gt;0,J$10&gt;0,O$10&gt;0,T$10&gt;0),(Z$10*(IF(AND(E$10&gt;0), IF(OR(E13="", E13="AB",E13="UR"),0,E13),0) +IF(AND(J$10&gt;0), IF(OR(J13="",J13="AB",J13=""),0,J13),0)+IF(AND(O$10&gt;0), IF(OR(O13="", O13="AB",O13="UR"),0,O13),0)+IF(AND(T$10&gt;0), IF(OR(T13="",T13="AB",T13="UR"),0,T13),0))/(E$10+J$10+O$10+T$10))," ")))</f>
        <v>76.666666666666671</v>
      </c>
      <c r="AA13" s="27">
        <f t="shared" si="4"/>
        <v>66.666666666666671</v>
      </c>
      <c r="AB13" s="27">
        <f t="shared" si="5"/>
        <v>54.285714285714285</v>
      </c>
      <c r="AC13" s="27">
        <f t="shared" si="6"/>
        <v>62.222222222222221</v>
      </c>
      <c r="AD13" s="27" t="str">
        <f t="shared" si="7"/>
        <v xml:space="preserve"> </v>
      </c>
      <c r="AE13" s="28">
        <f t="shared" si="2"/>
        <v>64.960317460317455</v>
      </c>
    </row>
    <row r="14" spans="1:32" ht="15" customHeight="1">
      <c r="A14" s="3">
        <v>4</v>
      </c>
      <c r="B14" s="11" t="str">
        <f>IF('INTERACTION-PAGE'!B14="","",'INTERACTION-PAGE'!B14)</f>
        <v>FEB24029</v>
      </c>
      <c r="C14" s="11" t="str">
        <f>IF('INTERACTION-PAGE'!C14="","",'INTERACTION-PAGE'!C14)</f>
        <v>Hriday Pratim Das</v>
      </c>
      <c r="D14" s="11" t="str">
        <f>IF('INTERACTION-PAGE'!D14="","",'INTERACTION-PAGE'!D14)</f>
        <v/>
      </c>
      <c r="E14" s="11">
        <f>IF('INTERACTION-PAGE'!E14="","",'INTERACTION-PAGE'!E14)</f>
        <v>0</v>
      </c>
      <c r="F14" s="11">
        <f>IF('INTERACTION-PAGE'!F14="","",'INTERACTION-PAGE'!F14)</f>
        <v>0</v>
      </c>
      <c r="G14" s="11">
        <f>IF('INTERACTION-PAGE'!G14="","",'INTERACTION-PAGE'!G14)</f>
        <v>12</v>
      </c>
      <c r="H14" s="11">
        <f>IF('INTERACTION-PAGE'!H14="","",'INTERACTION-PAGE'!H14)</f>
        <v>11</v>
      </c>
      <c r="I14" s="11">
        <f>IF('INTERACTION-PAGE'!I14="","",'INTERACTION-PAGE'!I14)</f>
        <v>0</v>
      </c>
      <c r="J14" s="11">
        <f>IF('INTERACTION-PAGE'!J14="","",'INTERACTION-PAGE'!J14)</f>
        <v>4</v>
      </c>
      <c r="K14" s="11">
        <f>IF('INTERACTION-PAGE'!K14="","",'INTERACTION-PAGE'!K14)</f>
        <v>10</v>
      </c>
      <c r="L14" s="11">
        <f>IF('INTERACTION-PAGE'!L14="","",'INTERACTION-PAGE'!L14)</f>
        <v>8</v>
      </c>
      <c r="M14" s="11">
        <f>IF('INTERACTION-PAGE'!M14="","",'INTERACTION-PAGE'!M14)</f>
        <v>5.5</v>
      </c>
      <c r="N14" s="11">
        <f>IF('INTERACTION-PAGE'!N14="","",'INTERACTION-PAGE'!N14)</f>
        <v>0</v>
      </c>
      <c r="O14" s="11">
        <f>IF('INTERACTION-PAGE'!O14="","",'INTERACTION-PAGE'!O14)</f>
        <v>0</v>
      </c>
      <c r="P14" s="11">
        <f>IF('INTERACTION-PAGE'!P14="","",'INTERACTION-PAGE'!P14)</f>
        <v>0</v>
      </c>
      <c r="Q14" s="11">
        <f>IF('INTERACTION-PAGE'!Q14="","",'INTERACTION-PAGE'!Q14)</f>
        <v>0</v>
      </c>
      <c r="R14" s="11">
        <f>IF('INTERACTION-PAGE'!R14="","",'INTERACTION-PAGE'!R14)</f>
        <v>0</v>
      </c>
      <c r="S14" s="11">
        <f>IF('INTERACTION-PAGE'!S14="","",'INTERACTION-PAGE'!S14)</f>
        <v>0</v>
      </c>
      <c r="T14" s="11">
        <f>IF('INTERACTION-PAGE'!T14="","",'INTERACTION-PAGE'!T14)</f>
        <v>20</v>
      </c>
      <c r="U14" s="11">
        <f>IF('INTERACTION-PAGE'!U14="","",'INTERACTION-PAGE'!U14)</f>
        <v>0</v>
      </c>
      <c r="V14" s="11">
        <f>IF('INTERACTION-PAGE'!V14="","",'INTERACTION-PAGE'!V14)</f>
        <v>0</v>
      </c>
      <c r="W14" s="11">
        <f>IF('INTERACTION-PAGE'!W14="","",'INTERACTION-PAGE'!W14)</f>
        <v>0</v>
      </c>
      <c r="X14" s="11">
        <f>IF('INTERACTION-PAGE'!X14="","",'INTERACTION-PAGE'!X14)</f>
        <v>0</v>
      </c>
      <c r="Y14" s="27">
        <f t="shared" si="3"/>
        <v>56.4</v>
      </c>
      <c r="Z14" s="27">
        <f t="shared" si="8"/>
        <v>80</v>
      </c>
      <c r="AA14" s="27">
        <f t="shared" si="4"/>
        <v>66.666666666666671</v>
      </c>
      <c r="AB14" s="27">
        <f t="shared" si="5"/>
        <v>57.142857142857146</v>
      </c>
      <c r="AC14" s="27">
        <f t="shared" si="6"/>
        <v>36.666666666666664</v>
      </c>
      <c r="AD14" s="27" t="str">
        <f t="shared" si="7"/>
        <v xml:space="preserve"> </v>
      </c>
      <c r="AE14" s="28">
        <f t="shared" si="2"/>
        <v>60.11904761904762</v>
      </c>
    </row>
    <row r="15" spans="1:32" ht="15" customHeight="1">
      <c r="A15" s="2">
        <v>5</v>
      </c>
      <c r="B15" s="11" t="str">
        <f>IF('INTERACTION-PAGE'!B15="","",'INTERACTION-PAGE'!B15)</f>
        <v>FEB24033</v>
      </c>
      <c r="C15" s="11" t="str">
        <f>IF('INTERACTION-PAGE'!C15="","",'INTERACTION-PAGE'!C15)</f>
        <v>Venkata Sumanth Vinjamuri</v>
      </c>
      <c r="D15" s="11" t="str">
        <f>IF('INTERACTION-PAGE'!D15="","",'INTERACTION-PAGE'!D15)</f>
        <v/>
      </c>
      <c r="E15" s="11">
        <f>IF('INTERACTION-PAGE'!E15="","",'INTERACTION-PAGE'!E15)</f>
        <v>0</v>
      </c>
      <c r="F15" s="11">
        <f>IF('INTERACTION-PAGE'!F15="","",'INTERACTION-PAGE'!F15)</f>
        <v>5</v>
      </c>
      <c r="G15" s="11">
        <f>IF('INTERACTION-PAGE'!G15="","",'INTERACTION-PAGE'!G15)</f>
        <v>12</v>
      </c>
      <c r="H15" s="11">
        <f>IF('INTERACTION-PAGE'!H15="","",'INTERACTION-PAGE'!H15)</f>
        <v>27.5</v>
      </c>
      <c r="I15" s="11">
        <f>IF('INTERACTION-PAGE'!I15="","",'INTERACTION-PAGE'!I15)</f>
        <v>0</v>
      </c>
      <c r="J15" s="11">
        <f>IF('INTERACTION-PAGE'!J15="","",'INTERACTION-PAGE'!J15)</f>
        <v>3.5</v>
      </c>
      <c r="K15" s="11">
        <f>IF('INTERACTION-PAGE'!K15="","",'INTERACTION-PAGE'!K15)</f>
        <v>10</v>
      </c>
      <c r="L15" s="11">
        <f>IF('INTERACTION-PAGE'!L15="","",'INTERACTION-PAGE'!L15)</f>
        <v>7</v>
      </c>
      <c r="M15" s="11">
        <f>IF('INTERACTION-PAGE'!M15="","",'INTERACTION-PAGE'!M15)</f>
        <v>5.5</v>
      </c>
      <c r="N15" s="11">
        <f>IF('INTERACTION-PAGE'!N15="","",'INTERACTION-PAGE'!N15)</f>
        <v>0</v>
      </c>
      <c r="O15" s="11">
        <f>IF('INTERACTION-PAGE'!O15="","",'INTERACTION-PAGE'!O15)</f>
        <v>0</v>
      </c>
      <c r="P15" s="11">
        <f>IF('INTERACTION-PAGE'!P15="","",'INTERACTION-PAGE'!P15)</f>
        <v>0</v>
      </c>
      <c r="Q15" s="11">
        <f>IF('INTERACTION-PAGE'!Q15="","",'INTERACTION-PAGE'!Q15)</f>
        <v>0</v>
      </c>
      <c r="R15" s="11">
        <f>IF('INTERACTION-PAGE'!R15="","",'INTERACTION-PAGE'!R15)</f>
        <v>0</v>
      </c>
      <c r="S15" s="11">
        <f>IF('INTERACTION-PAGE'!S15="","",'INTERACTION-PAGE'!S15)</f>
        <v>0</v>
      </c>
      <c r="T15" s="11">
        <f>IF('INTERACTION-PAGE'!T15="","",'INTERACTION-PAGE'!T15)</f>
        <v>23</v>
      </c>
      <c r="U15" s="11">
        <f>IF('INTERACTION-PAGE'!U15="","",'INTERACTION-PAGE'!U15)</f>
        <v>0</v>
      </c>
      <c r="V15" s="11">
        <f>IF('INTERACTION-PAGE'!V15="","",'INTERACTION-PAGE'!V15)</f>
        <v>0</v>
      </c>
      <c r="W15" s="11">
        <f>IF('INTERACTION-PAGE'!W15="","",'INTERACTION-PAGE'!W15)</f>
        <v>0</v>
      </c>
      <c r="X15" s="11">
        <f>IF('INTERACTION-PAGE'!X15="","",'INTERACTION-PAGE'!X15)</f>
        <v>0</v>
      </c>
      <c r="Y15" s="27">
        <f t="shared" si="3"/>
        <v>74.8</v>
      </c>
      <c r="Z15" s="27">
        <f t="shared" si="8"/>
        <v>88.333333333333329</v>
      </c>
      <c r="AA15" s="27">
        <f t="shared" si="4"/>
        <v>100</v>
      </c>
      <c r="AB15" s="27">
        <f t="shared" si="5"/>
        <v>54.285714285714285</v>
      </c>
      <c r="AC15" s="27">
        <f t="shared" si="6"/>
        <v>73.333333333333329</v>
      </c>
      <c r="AD15" s="27" t="str">
        <f t="shared" si="7"/>
        <v xml:space="preserve"> </v>
      </c>
      <c r="AE15" s="28">
        <f t="shared" si="2"/>
        <v>78.988095238095227</v>
      </c>
    </row>
    <row r="16" spans="1:32" ht="15" customHeight="1">
      <c r="A16" s="3">
        <v>6</v>
      </c>
      <c r="B16" s="11" t="str">
        <f>IF('INTERACTION-PAGE'!B16="","",'INTERACTION-PAGE'!B16)</f>
        <v>FEB24034</v>
      </c>
      <c r="C16" s="11" t="str">
        <f>IF('INTERACTION-PAGE'!C16="","",'INTERACTION-PAGE'!C16)</f>
        <v>Krisha Deka</v>
      </c>
      <c r="D16" s="11" t="str">
        <f>IF('INTERACTION-PAGE'!D16="","",'INTERACTION-PAGE'!D16)</f>
        <v/>
      </c>
      <c r="E16" s="11">
        <f>IF('INTERACTION-PAGE'!E16="","",'INTERACTION-PAGE'!E16)</f>
        <v>0</v>
      </c>
      <c r="F16" s="11">
        <f>IF('INTERACTION-PAGE'!F16="","",'INTERACTION-PAGE'!F16)</f>
        <v>5</v>
      </c>
      <c r="G16" s="11">
        <f>IF('INTERACTION-PAGE'!G16="","",'INTERACTION-PAGE'!G16)</f>
        <v>13</v>
      </c>
      <c r="H16" s="11">
        <f>IF('INTERACTION-PAGE'!H16="","",'INTERACTION-PAGE'!H16)</f>
        <v>4</v>
      </c>
      <c r="I16" s="11">
        <f>IF('INTERACTION-PAGE'!I16="","",'INTERACTION-PAGE'!I16)</f>
        <v>0</v>
      </c>
      <c r="J16" s="11">
        <f>IF('INTERACTION-PAGE'!J16="","",'INTERACTION-PAGE'!J16)</f>
        <v>0</v>
      </c>
      <c r="K16" s="11">
        <f>IF('INTERACTION-PAGE'!K16="","",'INTERACTION-PAGE'!K16)</f>
        <v>5.5</v>
      </c>
      <c r="L16" s="11">
        <f>IF('INTERACTION-PAGE'!L16="","",'INTERACTION-PAGE'!L16)</f>
        <v>6</v>
      </c>
      <c r="M16" s="11">
        <f>IF('INTERACTION-PAGE'!M16="","",'INTERACTION-PAGE'!M16)</f>
        <v>3</v>
      </c>
      <c r="N16" s="11">
        <f>IF('INTERACTION-PAGE'!N16="","",'INTERACTION-PAGE'!N16)</f>
        <v>0</v>
      </c>
      <c r="O16" s="11">
        <f>IF('INTERACTION-PAGE'!O16="","",'INTERACTION-PAGE'!O16)</f>
        <v>0</v>
      </c>
      <c r="P16" s="11">
        <f>IF('INTERACTION-PAGE'!P16="","",'INTERACTION-PAGE'!P16)</f>
        <v>0</v>
      </c>
      <c r="Q16" s="11">
        <f>IF('INTERACTION-PAGE'!Q16="","",'INTERACTION-PAGE'!Q16)</f>
        <v>0</v>
      </c>
      <c r="R16" s="11">
        <f>IF('INTERACTION-PAGE'!R16="","",'INTERACTION-PAGE'!R16)</f>
        <v>0</v>
      </c>
      <c r="S16" s="11">
        <f>IF('INTERACTION-PAGE'!S16="","",'INTERACTION-PAGE'!S16)</f>
        <v>0</v>
      </c>
      <c r="T16" s="11">
        <f>IF('INTERACTION-PAGE'!T16="","",'INTERACTION-PAGE'!T16)</f>
        <v>19</v>
      </c>
      <c r="U16" s="11">
        <f>IF('INTERACTION-PAGE'!U16="","",'INTERACTION-PAGE'!U16)</f>
        <v>0</v>
      </c>
      <c r="V16" s="11">
        <f>IF('INTERACTION-PAGE'!V16="","",'INTERACTION-PAGE'!V16)</f>
        <v>0</v>
      </c>
      <c r="W16" s="11">
        <f>IF('INTERACTION-PAGE'!W16="","",'INTERACTION-PAGE'!W16)</f>
        <v>0</v>
      </c>
      <c r="X16" s="11">
        <f>IF('INTERACTION-PAGE'!X16="","",'INTERACTION-PAGE'!X16)</f>
        <v>0</v>
      </c>
      <c r="Y16" s="27">
        <f t="shared" si="3"/>
        <v>44.4</v>
      </c>
      <c r="Z16" s="27">
        <f t="shared" si="8"/>
        <v>63.333333333333336</v>
      </c>
      <c r="AA16" s="27">
        <f t="shared" si="4"/>
        <v>70</v>
      </c>
      <c r="AB16" s="27">
        <f t="shared" si="5"/>
        <v>54.285714285714285</v>
      </c>
      <c r="AC16" s="27">
        <f t="shared" si="6"/>
        <v>15.555555555555555</v>
      </c>
      <c r="AD16" s="27" t="str">
        <f t="shared" si="7"/>
        <v xml:space="preserve"> </v>
      </c>
      <c r="AE16" s="28">
        <f t="shared" si="2"/>
        <v>50.793650793650791</v>
      </c>
    </row>
    <row r="17" spans="1:31" ht="15" customHeight="1">
      <c r="A17" s="2">
        <v>7</v>
      </c>
      <c r="B17" s="11" t="str">
        <f>IF('INTERACTION-PAGE'!B17="","",'INTERACTION-PAGE'!B17)</f>
        <v>FEB24035</v>
      </c>
      <c r="C17" s="11" t="str">
        <f>IF('INTERACTION-PAGE'!C17="","",'INTERACTION-PAGE'!C17)</f>
        <v>Rahul Saikia</v>
      </c>
      <c r="D17" s="11" t="str">
        <f>IF('INTERACTION-PAGE'!D17="","",'INTERACTION-PAGE'!D17)</f>
        <v/>
      </c>
      <c r="E17" s="11">
        <f>IF('INTERACTION-PAGE'!E17="","",'INTERACTION-PAGE'!E17)</f>
        <v>0</v>
      </c>
      <c r="F17" s="11">
        <f>IF('INTERACTION-PAGE'!F17="","",'INTERACTION-PAGE'!F17)</f>
        <v>2</v>
      </c>
      <c r="G17" s="11">
        <f>IF('INTERACTION-PAGE'!G17="","",'INTERACTION-PAGE'!G17)</f>
        <v>13</v>
      </c>
      <c r="H17" s="11">
        <f>IF('INTERACTION-PAGE'!H17="","",'INTERACTION-PAGE'!H17)</f>
        <v>9</v>
      </c>
      <c r="I17" s="11">
        <f>IF('INTERACTION-PAGE'!I17="","",'INTERACTION-PAGE'!I17)</f>
        <v>0</v>
      </c>
      <c r="J17" s="11">
        <f>IF('INTERACTION-PAGE'!J17="","",'INTERACTION-PAGE'!J17)</f>
        <v>4</v>
      </c>
      <c r="K17" s="11">
        <f>IF('INTERACTION-PAGE'!K17="","",'INTERACTION-PAGE'!K17)</f>
        <v>10</v>
      </c>
      <c r="L17" s="11">
        <f>IF('INTERACTION-PAGE'!L17="","",'INTERACTION-PAGE'!L17)</f>
        <v>6</v>
      </c>
      <c r="M17" s="11">
        <f>IF('INTERACTION-PAGE'!M17="","",'INTERACTION-PAGE'!M17)</f>
        <v>4.5</v>
      </c>
      <c r="N17" s="11">
        <f>IF('INTERACTION-PAGE'!N17="","",'INTERACTION-PAGE'!N17)</f>
        <v>0</v>
      </c>
      <c r="O17" s="11">
        <f>IF('INTERACTION-PAGE'!O17="","",'INTERACTION-PAGE'!O17)</f>
        <v>0</v>
      </c>
      <c r="P17" s="11">
        <f>IF('INTERACTION-PAGE'!P17="","",'INTERACTION-PAGE'!P17)</f>
        <v>0</v>
      </c>
      <c r="Q17" s="11">
        <f>IF('INTERACTION-PAGE'!Q17="","",'INTERACTION-PAGE'!Q17)</f>
        <v>0</v>
      </c>
      <c r="R17" s="11">
        <f>IF('INTERACTION-PAGE'!R17="","",'INTERACTION-PAGE'!R17)</f>
        <v>0</v>
      </c>
      <c r="S17" s="11">
        <f>IF('INTERACTION-PAGE'!S17="","",'INTERACTION-PAGE'!S17)</f>
        <v>0</v>
      </c>
      <c r="T17" s="11">
        <f>IF('INTERACTION-PAGE'!T17="","",'INTERACTION-PAGE'!T17)</f>
        <v>23</v>
      </c>
      <c r="U17" s="11">
        <f>IF('INTERACTION-PAGE'!U17="","",'INTERACTION-PAGE'!U17)</f>
        <v>0</v>
      </c>
      <c r="V17" s="11">
        <f>IF('INTERACTION-PAGE'!V17="","",'INTERACTION-PAGE'!V17)</f>
        <v>0</v>
      </c>
      <c r="W17" s="11">
        <f>IF('INTERACTION-PAGE'!W17="","",'INTERACTION-PAGE'!W17)</f>
        <v>0</v>
      </c>
      <c r="X17" s="11">
        <f>IF('INTERACTION-PAGE'!X17="","",'INTERACTION-PAGE'!X17)</f>
        <v>0</v>
      </c>
      <c r="Y17" s="27">
        <f t="shared" si="3"/>
        <v>57.2</v>
      </c>
      <c r="Z17" s="27">
        <f t="shared" si="8"/>
        <v>90</v>
      </c>
      <c r="AA17" s="27">
        <f t="shared" si="4"/>
        <v>80</v>
      </c>
      <c r="AB17" s="27">
        <f t="shared" si="5"/>
        <v>54.285714285714285</v>
      </c>
      <c r="AC17" s="27">
        <f t="shared" si="6"/>
        <v>30</v>
      </c>
      <c r="AD17" s="27" t="str">
        <f t="shared" si="7"/>
        <v xml:space="preserve"> </v>
      </c>
      <c r="AE17" s="28">
        <f t="shared" si="2"/>
        <v>63.571428571428569</v>
      </c>
    </row>
    <row r="18" spans="1:31" ht="15" customHeight="1">
      <c r="A18" s="3">
        <v>8</v>
      </c>
      <c r="B18" s="11" t="str">
        <f>IF('INTERACTION-PAGE'!B18="","",'INTERACTION-PAGE'!B18)</f>
        <v>FEB24036</v>
      </c>
      <c r="C18" s="11" t="str">
        <f>IF('INTERACTION-PAGE'!C18="","",'INTERACTION-PAGE'!C18)</f>
        <v>Rishab Kumar</v>
      </c>
      <c r="D18" s="11" t="str">
        <f>IF('INTERACTION-PAGE'!D18="","",'INTERACTION-PAGE'!D18)</f>
        <v/>
      </c>
      <c r="E18" s="11">
        <f>IF('INTERACTION-PAGE'!E18="","",'INTERACTION-PAGE'!E18)</f>
        <v>0</v>
      </c>
      <c r="F18" s="11">
        <f>IF('INTERACTION-PAGE'!F18="","",'INTERACTION-PAGE'!F18)</f>
        <v>0</v>
      </c>
      <c r="G18" s="11">
        <f>IF('INTERACTION-PAGE'!G18="","",'INTERACTION-PAGE'!G18)</f>
        <v>13</v>
      </c>
      <c r="H18" s="11">
        <f>IF('INTERACTION-PAGE'!H18="","",'INTERACTION-PAGE'!H18)</f>
        <v>4</v>
      </c>
      <c r="I18" s="11">
        <f>IF('INTERACTION-PAGE'!I18="","",'INTERACTION-PAGE'!I18)</f>
        <v>0</v>
      </c>
      <c r="J18" s="11">
        <f>IF('INTERACTION-PAGE'!J18="","",'INTERACTION-PAGE'!J18)</f>
        <v>2</v>
      </c>
      <c r="K18" s="11">
        <f>IF('INTERACTION-PAGE'!K18="","",'INTERACTION-PAGE'!K18)</f>
        <v>10</v>
      </c>
      <c r="L18" s="11">
        <f>IF('INTERACTION-PAGE'!L18="","",'INTERACTION-PAGE'!L18)</f>
        <v>7</v>
      </c>
      <c r="M18" s="11">
        <f>IF('INTERACTION-PAGE'!M18="","",'INTERACTION-PAGE'!M18)</f>
        <v>4.5</v>
      </c>
      <c r="N18" s="11">
        <f>IF('INTERACTION-PAGE'!N18="","",'INTERACTION-PAGE'!N18)</f>
        <v>0</v>
      </c>
      <c r="O18" s="11">
        <f>IF('INTERACTION-PAGE'!O18="","",'INTERACTION-PAGE'!O18)</f>
        <v>0</v>
      </c>
      <c r="P18" s="11">
        <f>IF('INTERACTION-PAGE'!P18="","",'INTERACTION-PAGE'!P18)</f>
        <v>0</v>
      </c>
      <c r="Q18" s="11">
        <f>IF('INTERACTION-PAGE'!Q18="","",'INTERACTION-PAGE'!Q18)</f>
        <v>0</v>
      </c>
      <c r="R18" s="11">
        <f>IF('INTERACTION-PAGE'!R18="","",'INTERACTION-PAGE'!R18)</f>
        <v>0</v>
      </c>
      <c r="S18" s="11">
        <f>IF('INTERACTION-PAGE'!S18="","",'INTERACTION-PAGE'!S18)</f>
        <v>0</v>
      </c>
      <c r="T18" s="11">
        <f>IF('INTERACTION-PAGE'!T18="","",'INTERACTION-PAGE'!T18)</f>
        <v>21</v>
      </c>
      <c r="U18" s="11">
        <f>IF('INTERACTION-PAGE'!U18="","",'INTERACTION-PAGE'!U18)</f>
        <v>0</v>
      </c>
      <c r="V18" s="11">
        <f>IF('INTERACTION-PAGE'!V18="","",'INTERACTION-PAGE'!V18)</f>
        <v>0</v>
      </c>
      <c r="W18" s="11">
        <f>IF('INTERACTION-PAGE'!W18="","",'INTERACTION-PAGE'!W18)</f>
        <v>0</v>
      </c>
      <c r="X18" s="11">
        <f>IF('INTERACTION-PAGE'!X18="","",'INTERACTION-PAGE'!X18)</f>
        <v>0</v>
      </c>
      <c r="Y18" s="27">
        <f t="shared" si="3"/>
        <v>49.2</v>
      </c>
      <c r="Z18" s="27">
        <f t="shared" si="8"/>
        <v>76.666666666666671</v>
      </c>
      <c r="AA18" s="27">
        <f t="shared" si="4"/>
        <v>66.666666666666671</v>
      </c>
      <c r="AB18" s="27">
        <f t="shared" si="5"/>
        <v>57.142857142857146</v>
      </c>
      <c r="AC18" s="27">
        <f t="shared" si="6"/>
        <v>18.888888888888889</v>
      </c>
      <c r="AD18" s="27" t="str">
        <f t="shared" si="7"/>
        <v xml:space="preserve"> </v>
      </c>
      <c r="AE18" s="28">
        <f t="shared" si="2"/>
        <v>54.841269841269842</v>
      </c>
    </row>
    <row r="19" spans="1:31" ht="15" customHeight="1">
      <c r="A19" s="2">
        <v>9</v>
      </c>
      <c r="B19" s="11" t="str">
        <f>IF('INTERACTION-PAGE'!B19="","",'INTERACTION-PAGE'!B19)</f>
        <v>FEB24037</v>
      </c>
      <c r="C19" s="11" t="str">
        <f>IF('INTERACTION-PAGE'!C19="","",'INTERACTION-PAGE'!C19)</f>
        <v>Rahul Kumar Choudhary</v>
      </c>
      <c r="D19" s="11" t="str">
        <f>IF('INTERACTION-PAGE'!D19="","",'INTERACTION-PAGE'!D19)</f>
        <v/>
      </c>
      <c r="E19" s="11">
        <f>IF('INTERACTION-PAGE'!E19="","",'INTERACTION-PAGE'!E19)</f>
        <v>0</v>
      </c>
      <c r="F19" s="11">
        <f>IF('INTERACTION-PAGE'!F19="","",'INTERACTION-PAGE'!F19)</f>
        <v>1</v>
      </c>
      <c r="G19" s="11">
        <f>IF('INTERACTION-PAGE'!G19="","",'INTERACTION-PAGE'!G19)</f>
        <v>14</v>
      </c>
      <c r="H19" s="11">
        <f>IF('INTERACTION-PAGE'!H19="","",'INTERACTION-PAGE'!H19)</f>
        <v>24</v>
      </c>
      <c r="I19" s="11">
        <f>IF('INTERACTION-PAGE'!I19="","",'INTERACTION-PAGE'!I19)</f>
        <v>0</v>
      </c>
      <c r="J19" s="11">
        <f>IF('INTERACTION-PAGE'!J19="","",'INTERACTION-PAGE'!J19)</f>
        <v>1</v>
      </c>
      <c r="K19" s="11">
        <f>IF('INTERACTION-PAGE'!K19="","",'INTERACTION-PAGE'!K19)</f>
        <v>9</v>
      </c>
      <c r="L19" s="11">
        <f>IF('INTERACTION-PAGE'!L19="","",'INTERACTION-PAGE'!L19)</f>
        <v>10</v>
      </c>
      <c r="M19" s="11">
        <f>IF('INTERACTION-PAGE'!M19="","",'INTERACTION-PAGE'!M19)</f>
        <v>8</v>
      </c>
      <c r="N19" s="11">
        <f>IF('INTERACTION-PAGE'!N19="","",'INTERACTION-PAGE'!N19)</f>
        <v>0</v>
      </c>
      <c r="O19" s="11">
        <f>IF('INTERACTION-PAGE'!O19="","",'INTERACTION-PAGE'!O19)</f>
        <v>0</v>
      </c>
      <c r="P19" s="11">
        <f>IF('INTERACTION-PAGE'!P19="","",'INTERACTION-PAGE'!P19)</f>
        <v>0</v>
      </c>
      <c r="Q19" s="11">
        <f>IF('INTERACTION-PAGE'!Q19="","",'INTERACTION-PAGE'!Q19)</f>
        <v>0</v>
      </c>
      <c r="R19" s="11">
        <f>IF('INTERACTION-PAGE'!R19="","",'INTERACTION-PAGE'!R19)</f>
        <v>0</v>
      </c>
      <c r="S19" s="11">
        <f>IF('INTERACTION-PAGE'!S19="","",'INTERACTION-PAGE'!S19)</f>
        <v>0</v>
      </c>
      <c r="T19" s="11">
        <f>IF('INTERACTION-PAGE'!T19="","",'INTERACTION-PAGE'!T19)</f>
        <v>20</v>
      </c>
      <c r="U19" s="11">
        <f>IF('INTERACTION-PAGE'!U19="","",'INTERACTION-PAGE'!U19)</f>
        <v>0</v>
      </c>
      <c r="V19" s="11">
        <f>IF('INTERACTION-PAGE'!V19="","",'INTERACTION-PAGE'!V19)</f>
        <v>0</v>
      </c>
      <c r="W19" s="11">
        <f>IF('INTERACTION-PAGE'!W19="","",'INTERACTION-PAGE'!W19)</f>
        <v>0</v>
      </c>
      <c r="X19" s="11">
        <f>IF('INTERACTION-PAGE'!X19="","",'INTERACTION-PAGE'!X19)</f>
        <v>0</v>
      </c>
      <c r="Y19" s="27">
        <f t="shared" si="3"/>
        <v>69.599999999999994</v>
      </c>
      <c r="Z19" s="27">
        <f t="shared" si="8"/>
        <v>70</v>
      </c>
      <c r="AA19" s="27">
        <f t="shared" si="4"/>
        <v>66.666666666666671</v>
      </c>
      <c r="AB19" s="27">
        <f t="shared" si="5"/>
        <v>68.571428571428569</v>
      </c>
      <c r="AC19" s="27">
        <f t="shared" si="6"/>
        <v>71.111111111111114</v>
      </c>
      <c r="AD19" s="27" t="str">
        <f t="shared" si="7"/>
        <v xml:space="preserve"> </v>
      </c>
      <c r="AE19" s="28">
        <f t="shared" si="2"/>
        <v>69.087301587301596</v>
      </c>
    </row>
    <row r="20" spans="1:31" ht="15" customHeight="1">
      <c r="A20" s="3">
        <v>10</v>
      </c>
      <c r="B20" s="11" t="str">
        <f>IF('INTERACTION-PAGE'!B20="","",'INTERACTION-PAGE'!B20)</f>
        <v>FEB24038</v>
      </c>
      <c r="C20" s="11" t="str">
        <f>IF('INTERACTION-PAGE'!C20="","",'INTERACTION-PAGE'!C20)</f>
        <v>Shivam Hari</v>
      </c>
      <c r="D20" s="11" t="str">
        <f>IF('INTERACTION-PAGE'!D20="","",'INTERACTION-PAGE'!D20)</f>
        <v/>
      </c>
      <c r="E20" s="11">
        <f>IF('INTERACTION-PAGE'!E20="","",'INTERACTION-PAGE'!E20)</f>
        <v>0</v>
      </c>
      <c r="F20" s="11">
        <f>IF('INTERACTION-PAGE'!F20="","",'INTERACTION-PAGE'!F20)</f>
        <v>1</v>
      </c>
      <c r="G20" s="11">
        <f>IF('INTERACTION-PAGE'!G20="","",'INTERACTION-PAGE'!G20)</f>
        <v>11</v>
      </c>
      <c r="H20" s="11">
        <f>IF('INTERACTION-PAGE'!H20="","",'INTERACTION-PAGE'!H20)</f>
        <v>22</v>
      </c>
      <c r="I20" s="11">
        <f>IF('INTERACTION-PAGE'!I20="","",'INTERACTION-PAGE'!I20)</f>
        <v>0</v>
      </c>
      <c r="J20" s="11">
        <f>IF('INTERACTION-PAGE'!J20="","",'INTERACTION-PAGE'!J20)</f>
        <v>1</v>
      </c>
      <c r="K20" s="11">
        <f>IF('INTERACTION-PAGE'!K20="","",'INTERACTION-PAGE'!K20)</f>
        <v>5.5</v>
      </c>
      <c r="L20" s="11">
        <f>IF('INTERACTION-PAGE'!L20="","",'INTERACTION-PAGE'!L20)</f>
        <v>7</v>
      </c>
      <c r="M20" s="11">
        <f>IF('INTERACTION-PAGE'!M20="","",'INTERACTION-PAGE'!M20)</f>
        <v>3</v>
      </c>
      <c r="N20" s="11">
        <f>IF('INTERACTION-PAGE'!N20="","",'INTERACTION-PAGE'!N20)</f>
        <v>0</v>
      </c>
      <c r="O20" s="11">
        <f>IF('INTERACTION-PAGE'!O20="","",'INTERACTION-PAGE'!O20)</f>
        <v>0</v>
      </c>
      <c r="P20" s="11">
        <f>IF('INTERACTION-PAGE'!P20="","",'INTERACTION-PAGE'!P20)</f>
        <v>0</v>
      </c>
      <c r="Q20" s="11">
        <f>IF('INTERACTION-PAGE'!Q20="","",'INTERACTION-PAGE'!Q20)</f>
        <v>0</v>
      </c>
      <c r="R20" s="11">
        <f>IF('INTERACTION-PAGE'!R20="","",'INTERACTION-PAGE'!R20)</f>
        <v>0</v>
      </c>
      <c r="S20" s="11">
        <f>IF('INTERACTION-PAGE'!S20="","",'INTERACTION-PAGE'!S20)</f>
        <v>0</v>
      </c>
      <c r="T20" s="11">
        <f>IF('INTERACTION-PAGE'!T20="","",'INTERACTION-PAGE'!T20)</f>
        <v>20</v>
      </c>
      <c r="U20" s="11">
        <f>IF('INTERACTION-PAGE'!U20="","",'INTERACTION-PAGE'!U20)</f>
        <v>0</v>
      </c>
      <c r="V20" s="11">
        <f>IF('INTERACTION-PAGE'!V20="","",'INTERACTION-PAGE'!V20)</f>
        <v>0</v>
      </c>
      <c r="W20" s="11">
        <f>IF('INTERACTION-PAGE'!W20="","",'INTERACTION-PAGE'!W20)</f>
        <v>0</v>
      </c>
      <c r="X20" s="11">
        <f>IF('INTERACTION-PAGE'!X20="","",'INTERACTION-PAGE'!X20)</f>
        <v>0</v>
      </c>
      <c r="Y20" s="27">
        <f t="shared" si="3"/>
        <v>56.4</v>
      </c>
      <c r="Z20" s="27">
        <f t="shared" si="8"/>
        <v>70</v>
      </c>
      <c r="AA20" s="27">
        <f t="shared" si="4"/>
        <v>43.333333333333336</v>
      </c>
      <c r="AB20" s="27">
        <f t="shared" si="5"/>
        <v>51.428571428571431</v>
      </c>
      <c r="AC20" s="27">
        <f t="shared" si="6"/>
        <v>55.555555555555557</v>
      </c>
      <c r="AD20" s="27" t="str">
        <f t="shared" si="7"/>
        <v xml:space="preserve"> </v>
      </c>
      <c r="AE20" s="28">
        <f t="shared" si="2"/>
        <v>55.079365079365076</v>
      </c>
    </row>
    <row r="21" spans="1:31" ht="15" customHeight="1">
      <c r="A21" s="2">
        <v>11</v>
      </c>
      <c r="B21" s="11" t="str">
        <f>IF('INTERACTION-PAGE'!B21="","",'INTERACTION-PAGE'!B21)</f>
        <v>FEB24039</v>
      </c>
      <c r="C21" s="11" t="str">
        <f>IF('INTERACTION-PAGE'!C21="","",'INTERACTION-PAGE'!C21)</f>
        <v>Sourav Goswami</v>
      </c>
      <c r="D21" s="11" t="str">
        <f>IF('INTERACTION-PAGE'!D21="","",'INTERACTION-PAGE'!D21)</f>
        <v/>
      </c>
      <c r="E21" s="11">
        <f>IF('INTERACTION-PAGE'!E21="","",'INTERACTION-PAGE'!E21)</f>
        <v>0</v>
      </c>
      <c r="F21" s="11">
        <f>IF('INTERACTION-PAGE'!F21="","",'INTERACTION-PAGE'!F21)</f>
        <v>0.5</v>
      </c>
      <c r="G21" s="11">
        <f>IF('INTERACTION-PAGE'!G21="","",'INTERACTION-PAGE'!G21)</f>
        <v>10</v>
      </c>
      <c r="H21" s="11">
        <f>IF('INTERACTION-PAGE'!H21="","",'INTERACTION-PAGE'!H21)</f>
        <v>10</v>
      </c>
      <c r="I21" s="11">
        <f>IF('INTERACTION-PAGE'!I21="","",'INTERACTION-PAGE'!I21)</f>
        <v>0</v>
      </c>
      <c r="J21" s="11">
        <f>IF('INTERACTION-PAGE'!J21="","",'INTERACTION-PAGE'!J21)</f>
        <v>3</v>
      </c>
      <c r="K21" s="11">
        <f>IF('INTERACTION-PAGE'!K21="","",'INTERACTION-PAGE'!K21)</f>
        <v>9.5</v>
      </c>
      <c r="L21" s="11">
        <f>IF('INTERACTION-PAGE'!L21="","",'INTERACTION-PAGE'!L21)</f>
        <v>6</v>
      </c>
      <c r="M21" s="11">
        <f>IF('INTERACTION-PAGE'!M21="","",'INTERACTION-PAGE'!M21)</f>
        <v>4.5</v>
      </c>
      <c r="N21" s="11">
        <f>IF('INTERACTION-PAGE'!N21="","",'INTERACTION-PAGE'!N21)</f>
        <v>0</v>
      </c>
      <c r="O21" s="11">
        <f>IF('INTERACTION-PAGE'!O21="","",'INTERACTION-PAGE'!O21)</f>
        <v>0</v>
      </c>
      <c r="P21" s="11">
        <f>IF('INTERACTION-PAGE'!P21="","",'INTERACTION-PAGE'!P21)</f>
        <v>0</v>
      </c>
      <c r="Q21" s="11">
        <f>IF('INTERACTION-PAGE'!Q21="","",'INTERACTION-PAGE'!Q21)</f>
        <v>0</v>
      </c>
      <c r="R21" s="11">
        <f>IF('INTERACTION-PAGE'!R21="","",'INTERACTION-PAGE'!R21)</f>
        <v>0</v>
      </c>
      <c r="S21" s="11">
        <f>IF('INTERACTION-PAGE'!S21="","",'INTERACTION-PAGE'!S21)</f>
        <v>0</v>
      </c>
      <c r="T21" s="11">
        <f>IF('INTERACTION-PAGE'!T21="","",'INTERACTION-PAGE'!T21)</f>
        <v>18</v>
      </c>
      <c r="U21" s="11">
        <f>IF('INTERACTION-PAGE'!U21="","",'INTERACTION-PAGE'!U21)</f>
        <v>0</v>
      </c>
      <c r="V21" s="11">
        <f>IF('INTERACTION-PAGE'!V21="","",'INTERACTION-PAGE'!V21)</f>
        <v>0</v>
      </c>
      <c r="W21" s="11">
        <f>IF('INTERACTION-PAGE'!W21="","",'INTERACTION-PAGE'!W21)</f>
        <v>0</v>
      </c>
      <c r="X21" s="11">
        <f>IF('INTERACTION-PAGE'!X21="","",'INTERACTION-PAGE'!X21)</f>
        <v>0</v>
      </c>
      <c r="Y21" s="27">
        <f t="shared" si="3"/>
        <v>49.2</v>
      </c>
      <c r="Z21" s="27">
        <f t="shared" si="8"/>
        <v>70</v>
      </c>
      <c r="AA21" s="27">
        <f t="shared" si="4"/>
        <v>66.666666666666671</v>
      </c>
      <c r="AB21" s="27">
        <f t="shared" si="5"/>
        <v>45.714285714285715</v>
      </c>
      <c r="AC21" s="27">
        <f t="shared" si="6"/>
        <v>32.222222222222221</v>
      </c>
      <c r="AD21" s="27" t="str">
        <f t="shared" si="7"/>
        <v xml:space="preserve"> </v>
      </c>
      <c r="AE21" s="28">
        <f t="shared" si="2"/>
        <v>53.650793650793659</v>
      </c>
    </row>
    <row r="22" spans="1:31" ht="15" customHeight="1">
      <c r="A22" s="3">
        <v>12</v>
      </c>
      <c r="B22" s="11" t="str">
        <f>IF('INTERACTION-PAGE'!B22="","",'INTERACTION-PAGE'!B22)</f>
        <v>FEB24040</v>
      </c>
      <c r="C22" s="11" t="str">
        <f>IF('INTERACTION-PAGE'!C22="","",'INTERACTION-PAGE'!C22)</f>
        <v>Boddu Navyan</v>
      </c>
      <c r="D22" s="11" t="str">
        <f>IF('INTERACTION-PAGE'!D22="","",'INTERACTION-PAGE'!D22)</f>
        <v/>
      </c>
      <c r="E22" s="11">
        <f>IF('INTERACTION-PAGE'!E22="","",'INTERACTION-PAGE'!E22)</f>
        <v>0</v>
      </c>
      <c r="F22" s="11">
        <f>IF('INTERACTION-PAGE'!F22="","",'INTERACTION-PAGE'!F22)</f>
        <v>0</v>
      </c>
      <c r="G22" s="11">
        <f>IF('INTERACTION-PAGE'!G22="","",'INTERACTION-PAGE'!G22)</f>
        <v>4</v>
      </c>
      <c r="H22" s="11">
        <f>IF('INTERACTION-PAGE'!H22="","",'INTERACTION-PAGE'!H22)</f>
        <v>3</v>
      </c>
      <c r="I22" s="11">
        <f>IF('INTERACTION-PAGE'!I22="","",'INTERACTION-PAGE'!I22)</f>
        <v>0</v>
      </c>
      <c r="J22" s="11">
        <f>IF('INTERACTION-PAGE'!J22="","",'INTERACTION-PAGE'!J22)</f>
        <v>0</v>
      </c>
      <c r="K22" s="11">
        <f>IF('INTERACTION-PAGE'!K22="","",'INTERACTION-PAGE'!K22)</f>
        <v>10</v>
      </c>
      <c r="L22" s="11">
        <f>IF('INTERACTION-PAGE'!L22="","",'INTERACTION-PAGE'!L22)</f>
        <v>6</v>
      </c>
      <c r="M22" s="11">
        <f>IF('INTERACTION-PAGE'!M22="","",'INTERACTION-PAGE'!M22)</f>
        <v>5</v>
      </c>
      <c r="N22" s="11">
        <f>IF('INTERACTION-PAGE'!N22="","",'INTERACTION-PAGE'!N22)</f>
        <v>0</v>
      </c>
      <c r="O22" s="11">
        <f>IF('INTERACTION-PAGE'!O22="","",'INTERACTION-PAGE'!O22)</f>
        <v>0</v>
      </c>
      <c r="P22" s="11">
        <f>IF('INTERACTION-PAGE'!P22="","",'INTERACTION-PAGE'!P22)</f>
        <v>0</v>
      </c>
      <c r="Q22" s="11">
        <f>IF('INTERACTION-PAGE'!Q22="","",'INTERACTION-PAGE'!Q22)</f>
        <v>0</v>
      </c>
      <c r="R22" s="11">
        <f>IF('INTERACTION-PAGE'!R22="","",'INTERACTION-PAGE'!R22)</f>
        <v>0</v>
      </c>
      <c r="S22" s="11">
        <f>IF('INTERACTION-PAGE'!S22="","",'INTERACTION-PAGE'!S22)</f>
        <v>0</v>
      </c>
      <c r="T22" s="11">
        <f>IF('INTERACTION-PAGE'!T22="","",'INTERACTION-PAGE'!T22)</f>
        <v>20</v>
      </c>
      <c r="U22" s="11">
        <f>IF('INTERACTION-PAGE'!U22="","",'INTERACTION-PAGE'!U22)</f>
        <v>0</v>
      </c>
      <c r="V22" s="11">
        <f>IF('INTERACTION-PAGE'!V22="","",'INTERACTION-PAGE'!V22)</f>
        <v>0</v>
      </c>
      <c r="W22" s="11">
        <f>IF('INTERACTION-PAGE'!W22="","",'INTERACTION-PAGE'!W22)</f>
        <v>0</v>
      </c>
      <c r="X22" s="11">
        <f>IF('INTERACTION-PAGE'!X22="","",'INTERACTION-PAGE'!X22)</f>
        <v>0</v>
      </c>
      <c r="Y22" s="27">
        <f t="shared" si="3"/>
        <v>38.4</v>
      </c>
      <c r="Z22" s="27">
        <f t="shared" si="8"/>
        <v>66.666666666666671</v>
      </c>
      <c r="AA22" s="27">
        <f t="shared" si="4"/>
        <v>66.666666666666671</v>
      </c>
      <c r="AB22" s="27">
        <f t="shared" si="5"/>
        <v>28.571428571428573</v>
      </c>
      <c r="AC22" s="27">
        <f t="shared" si="6"/>
        <v>17.777777777777779</v>
      </c>
      <c r="AD22" s="27" t="str">
        <f t="shared" si="7"/>
        <v xml:space="preserve"> </v>
      </c>
      <c r="AE22" s="28">
        <f t="shared" si="2"/>
        <v>44.920634920634924</v>
      </c>
    </row>
    <row r="23" spans="1:31" ht="15" customHeight="1">
      <c r="A23" s="2">
        <v>13</v>
      </c>
      <c r="B23" s="11" t="str">
        <f>IF('INTERACTION-PAGE'!B23="","",'INTERACTION-PAGE'!B23)</f>
        <v>FEB24041</v>
      </c>
      <c r="C23" s="11" t="str">
        <f>IF('INTERACTION-PAGE'!C23="","",'INTERACTION-PAGE'!C23)</f>
        <v>Intiab Ahmed</v>
      </c>
      <c r="D23" s="11" t="str">
        <f>IF('INTERACTION-PAGE'!D23="","",'INTERACTION-PAGE'!D23)</f>
        <v/>
      </c>
      <c r="E23" s="11">
        <f>IF('INTERACTION-PAGE'!E23="","",'INTERACTION-PAGE'!E23)</f>
        <v>0</v>
      </c>
      <c r="F23" s="11">
        <f>IF('INTERACTION-PAGE'!F23="","",'INTERACTION-PAGE'!F23)</f>
        <v>0</v>
      </c>
      <c r="G23" s="11">
        <f>IF('INTERACTION-PAGE'!G23="","",'INTERACTION-PAGE'!G23)</f>
        <v>9</v>
      </c>
      <c r="H23" s="11">
        <f>IF('INTERACTION-PAGE'!H23="","",'INTERACTION-PAGE'!H23)</f>
        <v>2</v>
      </c>
      <c r="I23" s="11">
        <f>IF('INTERACTION-PAGE'!I23="","",'INTERACTION-PAGE'!I23)</f>
        <v>0</v>
      </c>
      <c r="J23" s="11">
        <f>IF('INTERACTION-PAGE'!J23="","",'INTERACTION-PAGE'!J23)</f>
        <v>2.5</v>
      </c>
      <c r="K23" s="11">
        <f>IF('INTERACTION-PAGE'!K23="","",'INTERACTION-PAGE'!K23)</f>
        <v>10</v>
      </c>
      <c r="L23" s="11">
        <f>IF('INTERACTION-PAGE'!L23="","",'INTERACTION-PAGE'!L23)</f>
        <v>6</v>
      </c>
      <c r="M23" s="11">
        <f>IF('INTERACTION-PAGE'!M23="","",'INTERACTION-PAGE'!M23)</f>
        <v>0.5</v>
      </c>
      <c r="N23" s="11">
        <f>IF('INTERACTION-PAGE'!N23="","",'INTERACTION-PAGE'!N23)</f>
        <v>0</v>
      </c>
      <c r="O23" s="11">
        <f>IF('INTERACTION-PAGE'!O23="","",'INTERACTION-PAGE'!O23)</f>
        <v>0</v>
      </c>
      <c r="P23" s="11">
        <f>IF('INTERACTION-PAGE'!P23="","",'INTERACTION-PAGE'!P23)</f>
        <v>0</v>
      </c>
      <c r="Q23" s="11">
        <f>IF('INTERACTION-PAGE'!Q23="","",'INTERACTION-PAGE'!Q23)</f>
        <v>0</v>
      </c>
      <c r="R23" s="11">
        <f>IF('INTERACTION-PAGE'!R23="","",'INTERACTION-PAGE'!R23)</f>
        <v>0</v>
      </c>
      <c r="S23" s="11">
        <f>IF('INTERACTION-PAGE'!S23="","",'INTERACTION-PAGE'!S23)</f>
        <v>0</v>
      </c>
      <c r="T23" s="11">
        <f>IF('INTERACTION-PAGE'!T23="","",'INTERACTION-PAGE'!T23)</f>
        <v>20</v>
      </c>
      <c r="U23" s="11">
        <f>IF('INTERACTION-PAGE'!U23="","",'INTERACTION-PAGE'!U23)</f>
        <v>0</v>
      </c>
      <c r="V23" s="11">
        <f>IF('INTERACTION-PAGE'!V23="","",'INTERACTION-PAGE'!V23)</f>
        <v>0</v>
      </c>
      <c r="W23" s="11">
        <f>IF('INTERACTION-PAGE'!W23="","",'INTERACTION-PAGE'!W23)</f>
        <v>0</v>
      </c>
      <c r="X23" s="11">
        <f>IF('INTERACTION-PAGE'!X23="","",'INTERACTION-PAGE'!X23)</f>
        <v>0</v>
      </c>
      <c r="Y23" s="27">
        <f t="shared" si="3"/>
        <v>40</v>
      </c>
      <c r="Z23" s="27">
        <f t="shared" si="8"/>
        <v>75</v>
      </c>
      <c r="AA23" s="27">
        <f t="shared" si="4"/>
        <v>66.666666666666671</v>
      </c>
      <c r="AB23" s="27">
        <f t="shared" si="5"/>
        <v>42.857142857142854</v>
      </c>
      <c r="AC23" s="27">
        <f t="shared" si="6"/>
        <v>5.5555555555555554</v>
      </c>
      <c r="AD23" s="27" t="str">
        <f t="shared" si="7"/>
        <v xml:space="preserve"> </v>
      </c>
      <c r="AE23" s="28">
        <f t="shared" si="2"/>
        <v>47.519841269841272</v>
      </c>
    </row>
    <row r="24" spans="1:31" ht="15" customHeight="1">
      <c r="A24" s="3">
        <v>14</v>
      </c>
      <c r="B24" s="11" t="str">
        <f>IF('INTERACTION-PAGE'!B24="","",'INTERACTION-PAGE'!B24)</f>
        <v>FEB24042</v>
      </c>
      <c r="C24" s="11" t="str">
        <f>IF('INTERACTION-PAGE'!C24="","",'INTERACTION-PAGE'!C24)</f>
        <v>Dhrubajita Talukdar</v>
      </c>
      <c r="D24" s="11" t="str">
        <f>IF('INTERACTION-PAGE'!D24="","",'INTERACTION-PAGE'!D24)</f>
        <v/>
      </c>
      <c r="E24" s="11">
        <f>IF('INTERACTION-PAGE'!E24="","",'INTERACTION-PAGE'!E24)</f>
        <v>0</v>
      </c>
      <c r="F24" s="11">
        <f>IF('INTERACTION-PAGE'!F24="","",'INTERACTION-PAGE'!F24)</f>
        <v>1</v>
      </c>
      <c r="G24" s="11">
        <f>IF('INTERACTION-PAGE'!G24="","",'INTERACTION-PAGE'!G24)</f>
        <v>9</v>
      </c>
      <c r="H24" s="11">
        <f>IF('INTERACTION-PAGE'!H24="","",'INTERACTION-PAGE'!H24)</f>
        <v>12</v>
      </c>
      <c r="I24" s="11">
        <f>IF('INTERACTION-PAGE'!I24="","",'INTERACTION-PAGE'!I24)</f>
        <v>0</v>
      </c>
      <c r="J24" s="11">
        <f>IF('INTERACTION-PAGE'!J24="","",'INTERACTION-PAGE'!J24)</f>
        <v>2.5</v>
      </c>
      <c r="K24" s="11">
        <f>IF('INTERACTION-PAGE'!K24="","",'INTERACTION-PAGE'!K24)</f>
        <v>10</v>
      </c>
      <c r="L24" s="11">
        <f>IF('INTERACTION-PAGE'!L24="","",'INTERACTION-PAGE'!L24)</f>
        <v>9</v>
      </c>
      <c r="M24" s="11">
        <f>IF('INTERACTION-PAGE'!M24="","",'INTERACTION-PAGE'!M24)</f>
        <v>6</v>
      </c>
      <c r="N24" s="11">
        <f>IF('INTERACTION-PAGE'!N24="","",'INTERACTION-PAGE'!N24)</f>
        <v>0</v>
      </c>
      <c r="O24" s="11">
        <f>IF('INTERACTION-PAGE'!O24="","",'INTERACTION-PAGE'!O24)</f>
        <v>0</v>
      </c>
      <c r="P24" s="11">
        <f>IF('INTERACTION-PAGE'!P24="","",'INTERACTION-PAGE'!P24)</f>
        <v>0</v>
      </c>
      <c r="Q24" s="11">
        <f>IF('INTERACTION-PAGE'!Q24="","",'INTERACTION-PAGE'!Q24)</f>
        <v>0</v>
      </c>
      <c r="R24" s="11">
        <f>IF('INTERACTION-PAGE'!R24="","",'INTERACTION-PAGE'!R24)</f>
        <v>0</v>
      </c>
      <c r="S24" s="11">
        <f>IF('INTERACTION-PAGE'!S24="","",'INTERACTION-PAGE'!S24)</f>
        <v>0</v>
      </c>
      <c r="T24" s="11">
        <f>IF('INTERACTION-PAGE'!T24="","",'INTERACTION-PAGE'!T24)</f>
        <v>15</v>
      </c>
      <c r="U24" s="11">
        <f>IF('INTERACTION-PAGE'!U24="","",'INTERACTION-PAGE'!U24)</f>
        <v>0</v>
      </c>
      <c r="V24" s="11">
        <f>IF('INTERACTION-PAGE'!V24="","",'INTERACTION-PAGE'!V24)</f>
        <v>0</v>
      </c>
      <c r="W24" s="11">
        <f>IF('INTERACTION-PAGE'!W24="","",'INTERACTION-PAGE'!W24)</f>
        <v>0</v>
      </c>
      <c r="X24" s="11">
        <f>IF('INTERACTION-PAGE'!X24="","",'INTERACTION-PAGE'!X24)</f>
        <v>0</v>
      </c>
      <c r="Y24" s="27">
        <f t="shared" si="3"/>
        <v>51.6</v>
      </c>
      <c r="Z24" s="27">
        <f t="shared" si="8"/>
        <v>58.333333333333336</v>
      </c>
      <c r="AA24" s="27">
        <f t="shared" si="4"/>
        <v>73.333333333333329</v>
      </c>
      <c r="AB24" s="27">
        <f t="shared" si="5"/>
        <v>51.428571428571431</v>
      </c>
      <c r="AC24" s="27">
        <f t="shared" si="6"/>
        <v>40</v>
      </c>
      <c r="AD24" s="27" t="str">
        <f t="shared" si="7"/>
        <v xml:space="preserve"> </v>
      </c>
      <c r="AE24" s="28">
        <f t="shared" si="2"/>
        <v>55.773809523809518</v>
      </c>
    </row>
    <row r="25" spans="1:31" ht="15" customHeight="1">
      <c r="A25" s="2">
        <v>15</v>
      </c>
      <c r="B25" s="11" t="str">
        <f>IF('INTERACTION-PAGE'!B25="","",'INTERACTION-PAGE'!B25)</f>
        <v>FEB24043</v>
      </c>
      <c r="C25" s="11" t="str">
        <f>IF('INTERACTION-PAGE'!C25="","",'INTERACTION-PAGE'!C25)</f>
        <v>Altrab Ahmed</v>
      </c>
      <c r="D25" s="11" t="str">
        <f>IF('INTERACTION-PAGE'!D25="","",'INTERACTION-PAGE'!D25)</f>
        <v/>
      </c>
      <c r="E25" s="11">
        <f>IF('INTERACTION-PAGE'!E25="","",'INTERACTION-PAGE'!E25)</f>
        <v>0</v>
      </c>
      <c r="F25" s="11">
        <f>IF('INTERACTION-PAGE'!F25="","",'INTERACTION-PAGE'!F25)</f>
        <v>1</v>
      </c>
      <c r="G25" s="11">
        <f>IF('INTERACTION-PAGE'!G25="","",'INTERACTION-PAGE'!G25)</f>
        <v>12</v>
      </c>
      <c r="H25" s="11">
        <f>IF('INTERACTION-PAGE'!H25="","",'INTERACTION-PAGE'!H25)</f>
        <v>13</v>
      </c>
      <c r="I25" s="11">
        <f>IF('INTERACTION-PAGE'!I25="","",'INTERACTION-PAGE'!I25)</f>
        <v>0</v>
      </c>
      <c r="J25" s="11">
        <f>IF('INTERACTION-PAGE'!J25="","",'INTERACTION-PAGE'!J25)</f>
        <v>2</v>
      </c>
      <c r="K25" s="11">
        <f>IF('INTERACTION-PAGE'!K25="","",'INTERACTION-PAGE'!K25)</f>
        <v>10</v>
      </c>
      <c r="L25" s="11">
        <f>IF('INTERACTION-PAGE'!L25="","",'INTERACTION-PAGE'!L25)</f>
        <v>8</v>
      </c>
      <c r="M25" s="11">
        <f>IF('INTERACTION-PAGE'!M25="","",'INTERACTION-PAGE'!M25)</f>
        <v>6</v>
      </c>
      <c r="N25" s="11">
        <f>IF('INTERACTION-PAGE'!N25="","",'INTERACTION-PAGE'!N25)</f>
        <v>0</v>
      </c>
      <c r="O25" s="11">
        <f>IF('INTERACTION-PAGE'!O25="","",'INTERACTION-PAGE'!O25)</f>
        <v>0</v>
      </c>
      <c r="P25" s="11">
        <f>IF('INTERACTION-PAGE'!P25="","",'INTERACTION-PAGE'!P25)</f>
        <v>0</v>
      </c>
      <c r="Q25" s="11">
        <f>IF('INTERACTION-PAGE'!Q25="","",'INTERACTION-PAGE'!Q25)</f>
        <v>0</v>
      </c>
      <c r="R25" s="11">
        <f>IF('INTERACTION-PAGE'!R25="","",'INTERACTION-PAGE'!R25)</f>
        <v>0</v>
      </c>
      <c r="S25" s="11">
        <f>IF('INTERACTION-PAGE'!S25="","",'INTERACTION-PAGE'!S25)</f>
        <v>0</v>
      </c>
      <c r="T25" s="11">
        <f>IF('INTERACTION-PAGE'!T25="","",'INTERACTION-PAGE'!T25)</f>
        <v>22</v>
      </c>
      <c r="U25" s="11">
        <f>IF('INTERACTION-PAGE'!U25="","",'INTERACTION-PAGE'!U25)</f>
        <v>0</v>
      </c>
      <c r="V25" s="11">
        <f>IF('INTERACTION-PAGE'!V25="","",'INTERACTION-PAGE'!V25)</f>
        <v>0</v>
      </c>
      <c r="W25" s="11">
        <f>IF('INTERACTION-PAGE'!W25="","",'INTERACTION-PAGE'!W25)</f>
        <v>0</v>
      </c>
      <c r="X25" s="11">
        <f>IF('INTERACTION-PAGE'!X25="","",'INTERACTION-PAGE'!X25)</f>
        <v>0</v>
      </c>
      <c r="Y25" s="27">
        <f t="shared" si="3"/>
        <v>59.2</v>
      </c>
      <c r="Z25" s="27">
        <f t="shared" si="8"/>
        <v>80</v>
      </c>
      <c r="AA25" s="27">
        <f t="shared" si="4"/>
        <v>73.333333333333329</v>
      </c>
      <c r="AB25" s="27">
        <f t="shared" si="5"/>
        <v>57.142857142857146</v>
      </c>
      <c r="AC25" s="27">
        <f t="shared" si="6"/>
        <v>42.222222222222221</v>
      </c>
      <c r="AD25" s="27" t="str">
        <f t="shared" si="7"/>
        <v xml:space="preserve"> </v>
      </c>
      <c r="AE25" s="28">
        <f t="shared" si="2"/>
        <v>63.17460317460317</v>
      </c>
    </row>
    <row r="26" spans="1:31" ht="15" customHeight="1">
      <c r="A26" s="3">
        <v>16</v>
      </c>
      <c r="B26" s="11" t="str">
        <f>IF('INTERACTION-PAGE'!B26="","",'INTERACTION-PAGE'!B26)</f>
        <v>FEB24045</v>
      </c>
      <c r="C26" s="11" t="str">
        <f>IF('INTERACTION-PAGE'!C26="","",'INTERACTION-PAGE'!C26)</f>
        <v>Neha Kour</v>
      </c>
      <c r="D26" s="11" t="str">
        <f>IF('INTERACTION-PAGE'!D26="","",'INTERACTION-PAGE'!D26)</f>
        <v/>
      </c>
      <c r="E26" s="11">
        <f>IF('INTERACTION-PAGE'!E26="","",'INTERACTION-PAGE'!E26)</f>
        <v>0</v>
      </c>
      <c r="F26" s="11">
        <f>IF('INTERACTION-PAGE'!F26="","",'INTERACTION-PAGE'!F26)</f>
        <v>0</v>
      </c>
      <c r="G26" s="11">
        <f>IF('INTERACTION-PAGE'!G26="","",'INTERACTION-PAGE'!G26)</f>
        <v>6</v>
      </c>
      <c r="H26" s="11">
        <f>IF('INTERACTION-PAGE'!H26="","",'INTERACTION-PAGE'!H26)</f>
        <v>8.5</v>
      </c>
      <c r="I26" s="11">
        <f>IF('INTERACTION-PAGE'!I26="","",'INTERACTION-PAGE'!I26)</f>
        <v>0</v>
      </c>
      <c r="J26" s="11">
        <f>IF('INTERACTION-PAGE'!J26="","",'INTERACTION-PAGE'!J26)</f>
        <v>0.5</v>
      </c>
      <c r="K26" s="11">
        <f>IF('INTERACTION-PAGE'!K26="","",'INTERACTION-PAGE'!K26)</f>
        <v>9.5</v>
      </c>
      <c r="L26" s="11">
        <f>IF('INTERACTION-PAGE'!L26="","",'INTERACTION-PAGE'!L26)</f>
        <v>7</v>
      </c>
      <c r="M26" s="11">
        <f>IF('INTERACTION-PAGE'!M26="","",'INTERACTION-PAGE'!M26)</f>
        <v>2</v>
      </c>
      <c r="N26" s="11">
        <f>IF('INTERACTION-PAGE'!N26="","",'INTERACTION-PAGE'!N26)</f>
        <v>0</v>
      </c>
      <c r="O26" s="11">
        <f>IF('INTERACTION-PAGE'!O26="","",'INTERACTION-PAGE'!O26)</f>
        <v>0</v>
      </c>
      <c r="P26" s="11">
        <f>IF('INTERACTION-PAGE'!P26="","",'INTERACTION-PAGE'!P26)</f>
        <v>0</v>
      </c>
      <c r="Q26" s="11">
        <f>IF('INTERACTION-PAGE'!Q26="","",'INTERACTION-PAGE'!Q26)</f>
        <v>0</v>
      </c>
      <c r="R26" s="11">
        <f>IF('INTERACTION-PAGE'!R26="","",'INTERACTION-PAGE'!R26)</f>
        <v>0</v>
      </c>
      <c r="S26" s="11">
        <f>IF('INTERACTION-PAGE'!S26="","",'INTERACTION-PAGE'!S26)</f>
        <v>0</v>
      </c>
      <c r="T26" s="11">
        <f>IF('INTERACTION-PAGE'!T26="","",'INTERACTION-PAGE'!T26)</f>
        <v>21</v>
      </c>
      <c r="U26" s="11">
        <f>IF('INTERACTION-PAGE'!U26="","",'INTERACTION-PAGE'!U26)</f>
        <v>0</v>
      </c>
      <c r="V26" s="11">
        <f>IF('INTERACTION-PAGE'!V26="","",'INTERACTION-PAGE'!V26)</f>
        <v>0</v>
      </c>
      <c r="W26" s="11">
        <f>IF('INTERACTION-PAGE'!W26="","",'INTERACTION-PAGE'!W26)</f>
        <v>0</v>
      </c>
      <c r="X26" s="11">
        <f>IF('INTERACTION-PAGE'!X26="","",'INTERACTION-PAGE'!X26)</f>
        <v>0</v>
      </c>
      <c r="Y26" s="27">
        <f t="shared" si="3"/>
        <v>43.6</v>
      </c>
      <c r="Z26" s="27">
        <f t="shared" si="8"/>
        <v>71.666666666666671</v>
      </c>
      <c r="AA26" s="27">
        <f t="shared" si="4"/>
        <v>63.333333333333336</v>
      </c>
      <c r="AB26" s="27">
        <f t="shared" si="5"/>
        <v>37.142857142857146</v>
      </c>
      <c r="AC26" s="27">
        <f t="shared" si="6"/>
        <v>23.333333333333332</v>
      </c>
      <c r="AD26" s="27" t="str">
        <f t="shared" si="7"/>
        <v xml:space="preserve"> </v>
      </c>
      <c r="AE26" s="28">
        <f t="shared" si="2"/>
        <v>48.86904761904762</v>
      </c>
    </row>
    <row r="27" spans="1:31" ht="15" customHeight="1">
      <c r="A27" s="2">
        <v>17</v>
      </c>
      <c r="B27" s="11" t="str">
        <f>IF('INTERACTION-PAGE'!B27="","",'INTERACTION-PAGE'!B27)</f>
        <v>FEB24046</v>
      </c>
      <c r="C27" s="11" t="str">
        <f>IF('INTERACTION-PAGE'!C27="","",'INTERACTION-PAGE'!C27)</f>
        <v>Plaban Jyoti Bhuyan</v>
      </c>
      <c r="D27" s="11" t="str">
        <f>IF('INTERACTION-PAGE'!D27="","",'INTERACTION-PAGE'!D27)</f>
        <v/>
      </c>
      <c r="E27" s="11">
        <f>IF('INTERACTION-PAGE'!E27="","",'INTERACTION-PAGE'!E27)</f>
        <v>0</v>
      </c>
      <c r="F27" s="11">
        <f>IF('INTERACTION-PAGE'!F27="","",'INTERACTION-PAGE'!F27)</f>
        <v>0</v>
      </c>
      <c r="G27" s="11">
        <f>IF('INTERACTION-PAGE'!G27="","",'INTERACTION-PAGE'!G27)</f>
        <v>10</v>
      </c>
      <c r="H27" s="11">
        <f>IF('INTERACTION-PAGE'!H27="","",'INTERACTION-PAGE'!H27)</f>
        <v>3.5</v>
      </c>
      <c r="I27" s="11">
        <f>IF('INTERACTION-PAGE'!I27="","",'INTERACTION-PAGE'!I27)</f>
        <v>0</v>
      </c>
      <c r="J27" s="11">
        <f>IF('INTERACTION-PAGE'!J27="","",'INTERACTION-PAGE'!J27)</f>
        <v>0.5</v>
      </c>
      <c r="K27" s="11">
        <f>IF('INTERACTION-PAGE'!K27="","",'INTERACTION-PAGE'!K27)</f>
        <v>2</v>
      </c>
      <c r="L27" s="11">
        <f>IF('INTERACTION-PAGE'!L27="","",'INTERACTION-PAGE'!L27)</f>
        <v>5</v>
      </c>
      <c r="M27" s="11">
        <f>IF('INTERACTION-PAGE'!M27="","",'INTERACTION-PAGE'!M27)</f>
        <v>0</v>
      </c>
      <c r="N27" s="11">
        <f>IF('INTERACTION-PAGE'!N27="","",'INTERACTION-PAGE'!N27)</f>
        <v>0</v>
      </c>
      <c r="O27" s="11">
        <f>IF('INTERACTION-PAGE'!O27="","",'INTERACTION-PAGE'!O27)</f>
        <v>0</v>
      </c>
      <c r="P27" s="11">
        <f>IF('INTERACTION-PAGE'!P27="","",'INTERACTION-PAGE'!P27)</f>
        <v>0</v>
      </c>
      <c r="Q27" s="11">
        <f>IF('INTERACTION-PAGE'!Q27="","",'INTERACTION-PAGE'!Q27)</f>
        <v>0</v>
      </c>
      <c r="R27" s="11">
        <f>IF('INTERACTION-PAGE'!R27="","",'INTERACTION-PAGE'!R27)</f>
        <v>0</v>
      </c>
      <c r="S27" s="11">
        <f>IF('INTERACTION-PAGE'!S27="","",'INTERACTION-PAGE'!S27)</f>
        <v>0</v>
      </c>
      <c r="T27" s="11">
        <f>IF('INTERACTION-PAGE'!T27="","",'INTERACTION-PAGE'!T27)</f>
        <v>20</v>
      </c>
      <c r="U27" s="11">
        <f>IF('INTERACTION-PAGE'!U27="","",'INTERACTION-PAGE'!U27)</f>
        <v>0</v>
      </c>
      <c r="V27" s="11">
        <f>IF('INTERACTION-PAGE'!V27="","",'INTERACTION-PAGE'!V27)</f>
        <v>0</v>
      </c>
      <c r="W27" s="11">
        <f>IF('INTERACTION-PAGE'!W27="","",'INTERACTION-PAGE'!W27)</f>
        <v>0</v>
      </c>
      <c r="X27" s="11">
        <f>IF('INTERACTION-PAGE'!X27="","",'INTERACTION-PAGE'!X27)</f>
        <v>0</v>
      </c>
      <c r="Y27" s="27">
        <f t="shared" si="3"/>
        <v>32.799999999999997</v>
      </c>
      <c r="Z27" s="27">
        <f t="shared" si="8"/>
        <v>68.333333333333329</v>
      </c>
      <c r="AA27" s="27">
        <f t="shared" si="4"/>
        <v>13.333333333333334</v>
      </c>
      <c r="AB27" s="27">
        <f t="shared" si="5"/>
        <v>42.857142857142854</v>
      </c>
      <c r="AC27" s="27">
        <f t="shared" si="6"/>
        <v>7.7777777777777777</v>
      </c>
      <c r="AD27" s="27" t="str">
        <f t="shared" si="7"/>
        <v xml:space="preserve"> </v>
      </c>
      <c r="AE27" s="28">
        <f t="shared" si="2"/>
        <v>33.075396825396822</v>
      </c>
    </row>
    <row r="28" spans="1:31" ht="15" customHeight="1">
      <c r="A28" s="3">
        <v>18</v>
      </c>
      <c r="B28" s="11" t="str">
        <f>IF('INTERACTION-PAGE'!B28="","",'INTERACTION-PAGE'!B28)</f>
        <v>FEB24048</v>
      </c>
      <c r="C28" s="11" t="str">
        <f>IF('INTERACTION-PAGE'!C28="","",'INTERACTION-PAGE'!C28)</f>
        <v>Manoj Upadhyaya</v>
      </c>
      <c r="D28" s="11" t="str">
        <f>IF('INTERACTION-PAGE'!D28="","",'INTERACTION-PAGE'!D28)</f>
        <v/>
      </c>
      <c r="E28" s="11">
        <f>IF('INTERACTION-PAGE'!E28="","",'INTERACTION-PAGE'!E28)</f>
        <v>0</v>
      </c>
      <c r="F28" s="11">
        <f>IF('INTERACTION-PAGE'!F28="","",'INTERACTION-PAGE'!F28)</f>
        <v>1</v>
      </c>
      <c r="G28" s="11">
        <f>IF('INTERACTION-PAGE'!G28="","",'INTERACTION-PAGE'!G28)</f>
        <v>8</v>
      </c>
      <c r="H28" s="11">
        <f>IF('INTERACTION-PAGE'!H28="","",'INTERACTION-PAGE'!H28)</f>
        <v>3</v>
      </c>
      <c r="I28" s="11">
        <f>IF('INTERACTION-PAGE'!I28="","",'INTERACTION-PAGE'!I28)</f>
        <v>0</v>
      </c>
      <c r="J28" s="11">
        <f>IF('INTERACTION-PAGE'!J28="","",'INTERACTION-PAGE'!J28)</f>
        <v>3.5</v>
      </c>
      <c r="K28" s="11">
        <f>IF('INTERACTION-PAGE'!K28="","",'INTERACTION-PAGE'!K28)</f>
        <v>9.5</v>
      </c>
      <c r="L28" s="11">
        <f>IF('INTERACTION-PAGE'!L28="","",'INTERACTION-PAGE'!L28)</f>
        <v>5</v>
      </c>
      <c r="M28" s="11">
        <f>IF('INTERACTION-PAGE'!M28="","",'INTERACTION-PAGE'!M28)</f>
        <v>2.5</v>
      </c>
      <c r="N28" s="11">
        <f>IF('INTERACTION-PAGE'!N28="","",'INTERACTION-PAGE'!N28)</f>
        <v>0</v>
      </c>
      <c r="O28" s="11">
        <f>IF('INTERACTION-PAGE'!O28="","",'INTERACTION-PAGE'!O28)</f>
        <v>0</v>
      </c>
      <c r="P28" s="11">
        <f>IF('INTERACTION-PAGE'!P28="","",'INTERACTION-PAGE'!P28)</f>
        <v>0</v>
      </c>
      <c r="Q28" s="11">
        <f>IF('INTERACTION-PAGE'!Q28="","",'INTERACTION-PAGE'!Q28)</f>
        <v>0</v>
      </c>
      <c r="R28" s="11">
        <f>IF('INTERACTION-PAGE'!R28="","",'INTERACTION-PAGE'!R28)</f>
        <v>0</v>
      </c>
      <c r="S28" s="11">
        <f>IF('INTERACTION-PAGE'!S28="","",'INTERACTION-PAGE'!S28)</f>
        <v>0</v>
      </c>
      <c r="T28" s="11">
        <f>IF('INTERACTION-PAGE'!T28="","",'INTERACTION-PAGE'!T28)</f>
        <v>21</v>
      </c>
      <c r="U28" s="11">
        <f>IF('INTERACTION-PAGE'!U28="","",'INTERACTION-PAGE'!U28)</f>
        <v>0</v>
      </c>
      <c r="V28" s="11">
        <f>IF('INTERACTION-PAGE'!V28="","",'INTERACTION-PAGE'!V28)</f>
        <v>0</v>
      </c>
      <c r="W28" s="11">
        <f>IF('INTERACTION-PAGE'!W28="","",'INTERACTION-PAGE'!W28)</f>
        <v>0</v>
      </c>
      <c r="X28" s="11">
        <f>IF('INTERACTION-PAGE'!X28="","",'INTERACTION-PAGE'!X28)</f>
        <v>0</v>
      </c>
      <c r="Y28" s="27">
        <f t="shared" si="3"/>
        <v>42.8</v>
      </c>
      <c r="Z28" s="27">
        <f t="shared" si="8"/>
        <v>81.666666666666671</v>
      </c>
      <c r="AA28" s="27">
        <f t="shared" si="4"/>
        <v>70</v>
      </c>
      <c r="AB28" s="27">
        <f t="shared" si="5"/>
        <v>37.142857142857146</v>
      </c>
      <c r="AC28" s="27">
        <f t="shared" si="6"/>
        <v>12.222222222222221</v>
      </c>
      <c r="AD28" s="27" t="str">
        <f t="shared" si="7"/>
        <v xml:space="preserve"> </v>
      </c>
      <c r="AE28" s="28">
        <f t="shared" si="2"/>
        <v>50.257936507936513</v>
      </c>
    </row>
    <row r="29" spans="1:31" ht="15" customHeight="1">
      <c r="A29" s="2">
        <v>19</v>
      </c>
      <c r="B29" s="11" t="str">
        <f>IF('INTERACTION-PAGE'!B29="","",'INTERACTION-PAGE'!B29)</f>
        <v>FEB24049</v>
      </c>
      <c r="C29" s="11" t="str">
        <f>IF('INTERACTION-PAGE'!C29="","",'INTERACTION-PAGE'!C29)</f>
        <v>Subarna Baishya</v>
      </c>
      <c r="D29" s="11" t="str">
        <f>IF('INTERACTION-PAGE'!D29="","",'INTERACTION-PAGE'!D29)</f>
        <v/>
      </c>
      <c r="E29" s="11">
        <f>IF('INTERACTION-PAGE'!E29="","",'INTERACTION-PAGE'!E29)</f>
        <v>0</v>
      </c>
      <c r="F29" s="11">
        <f>IF('INTERACTION-PAGE'!F29="","",'INTERACTION-PAGE'!F29)</f>
        <v>0</v>
      </c>
      <c r="G29" s="11">
        <f>IF('INTERACTION-PAGE'!G29="","",'INTERACTION-PAGE'!G29)</f>
        <v>9</v>
      </c>
      <c r="H29" s="11">
        <f>IF('INTERACTION-PAGE'!H29="","",'INTERACTION-PAGE'!H29)</f>
        <v>1</v>
      </c>
      <c r="I29" s="11">
        <f>IF('INTERACTION-PAGE'!I29="","",'INTERACTION-PAGE'!I29)</f>
        <v>0</v>
      </c>
      <c r="J29" s="11">
        <f>IF('INTERACTION-PAGE'!J29="","",'INTERACTION-PAGE'!J29)</f>
        <v>2</v>
      </c>
      <c r="K29" s="11">
        <f>IF('INTERACTION-PAGE'!K29="","",'INTERACTION-PAGE'!K29)</f>
        <v>5</v>
      </c>
      <c r="L29" s="11">
        <f>IF('INTERACTION-PAGE'!L29="","",'INTERACTION-PAGE'!L29)</f>
        <v>8</v>
      </c>
      <c r="M29" s="11">
        <f>IF('INTERACTION-PAGE'!M29="","",'INTERACTION-PAGE'!M29)</f>
        <v>0</v>
      </c>
      <c r="N29" s="11">
        <f>IF('INTERACTION-PAGE'!N29="","",'INTERACTION-PAGE'!N29)</f>
        <v>0</v>
      </c>
      <c r="O29" s="11">
        <f>IF('INTERACTION-PAGE'!O29="","",'INTERACTION-PAGE'!O29)</f>
        <v>0</v>
      </c>
      <c r="P29" s="11">
        <f>IF('INTERACTION-PAGE'!P29="","",'INTERACTION-PAGE'!P29)</f>
        <v>0</v>
      </c>
      <c r="Q29" s="11">
        <f>IF('INTERACTION-PAGE'!Q29="","",'INTERACTION-PAGE'!Q29)</f>
        <v>0</v>
      </c>
      <c r="R29" s="11">
        <f>IF('INTERACTION-PAGE'!R29="","",'INTERACTION-PAGE'!R29)</f>
        <v>0</v>
      </c>
      <c r="S29" s="11">
        <f>IF('INTERACTION-PAGE'!S29="","",'INTERACTION-PAGE'!S29)</f>
        <v>0</v>
      </c>
      <c r="T29" s="11">
        <f>IF('INTERACTION-PAGE'!T29="","",'INTERACTION-PAGE'!T29)</f>
        <v>21</v>
      </c>
      <c r="U29" s="11">
        <f>IF('INTERACTION-PAGE'!U29="","",'INTERACTION-PAGE'!U29)</f>
        <v>0</v>
      </c>
      <c r="V29" s="11">
        <f>IF('INTERACTION-PAGE'!V29="","",'INTERACTION-PAGE'!V29)</f>
        <v>0</v>
      </c>
      <c r="W29" s="11">
        <f>IF('INTERACTION-PAGE'!W29="","",'INTERACTION-PAGE'!W29)</f>
        <v>0</v>
      </c>
      <c r="X29" s="11">
        <f>IF('INTERACTION-PAGE'!X29="","",'INTERACTION-PAGE'!X29)</f>
        <v>0</v>
      </c>
      <c r="Y29" s="27">
        <f t="shared" si="3"/>
        <v>36.799999999999997</v>
      </c>
      <c r="Z29" s="27">
        <f t="shared" si="8"/>
        <v>76.666666666666671</v>
      </c>
      <c r="AA29" s="27">
        <f t="shared" si="4"/>
        <v>33.333333333333336</v>
      </c>
      <c r="AB29" s="27">
        <f t="shared" si="5"/>
        <v>48.571428571428569</v>
      </c>
      <c r="AC29" s="27">
        <f t="shared" si="6"/>
        <v>2.2222222222222223</v>
      </c>
      <c r="AD29" s="27" t="str">
        <f t="shared" si="7"/>
        <v xml:space="preserve"> </v>
      </c>
      <c r="AE29" s="28">
        <f t="shared" si="2"/>
        <v>40.198412698412696</v>
      </c>
    </row>
    <row r="30" spans="1:31" ht="15" customHeight="1">
      <c r="A30" s="3">
        <v>20</v>
      </c>
      <c r="B30" s="11" t="str">
        <f>IF('INTERACTION-PAGE'!B30="","",'INTERACTION-PAGE'!B30)</f>
        <v>FEB24050</v>
      </c>
      <c r="C30" s="11" t="str">
        <f>IF('INTERACTION-PAGE'!C30="","",'INTERACTION-PAGE'!C30)</f>
        <v>Jahnab Dutta</v>
      </c>
      <c r="D30" s="11" t="str">
        <f>IF('INTERACTION-PAGE'!D30="","",'INTERACTION-PAGE'!D30)</f>
        <v/>
      </c>
      <c r="E30" s="11">
        <f>IF('INTERACTION-PAGE'!E30="","",'INTERACTION-PAGE'!E30)</f>
        <v>0</v>
      </c>
      <c r="F30" s="11">
        <f>IF('INTERACTION-PAGE'!F30="","",'INTERACTION-PAGE'!F30)</f>
        <v>2</v>
      </c>
      <c r="G30" s="11">
        <f>IF('INTERACTION-PAGE'!G30="","",'INTERACTION-PAGE'!G30)</f>
        <v>7</v>
      </c>
      <c r="H30" s="11">
        <f>IF('INTERACTION-PAGE'!H30="","",'INTERACTION-PAGE'!H30)</f>
        <v>7</v>
      </c>
      <c r="I30" s="11">
        <f>IF('INTERACTION-PAGE'!I30="","",'INTERACTION-PAGE'!I30)</f>
        <v>0</v>
      </c>
      <c r="J30" s="11">
        <f>IF('INTERACTION-PAGE'!J30="","",'INTERACTION-PAGE'!J30)</f>
        <v>1.5</v>
      </c>
      <c r="K30" s="11">
        <f>IF('INTERACTION-PAGE'!K30="","",'INTERACTION-PAGE'!K30)</f>
        <v>10</v>
      </c>
      <c r="L30" s="11">
        <f>IF('INTERACTION-PAGE'!L30="","",'INTERACTION-PAGE'!L30)</f>
        <v>5</v>
      </c>
      <c r="M30" s="11">
        <f>IF('INTERACTION-PAGE'!M30="","",'INTERACTION-PAGE'!M30)</f>
        <v>5.5</v>
      </c>
      <c r="N30" s="11">
        <f>IF('INTERACTION-PAGE'!N30="","",'INTERACTION-PAGE'!N30)</f>
        <v>0</v>
      </c>
      <c r="O30" s="11">
        <f>IF('INTERACTION-PAGE'!O30="","",'INTERACTION-PAGE'!O30)</f>
        <v>0</v>
      </c>
      <c r="P30" s="11">
        <f>IF('INTERACTION-PAGE'!P30="","",'INTERACTION-PAGE'!P30)</f>
        <v>0</v>
      </c>
      <c r="Q30" s="11">
        <f>IF('INTERACTION-PAGE'!Q30="","",'INTERACTION-PAGE'!Q30)</f>
        <v>0</v>
      </c>
      <c r="R30" s="11">
        <f>IF('INTERACTION-PAGE'!R30="","",'INTERACTION-PAGE'!R30)</f>
        <v>0</v>
      </c>
      <c r="S30" s="11">
        <f>IF('INTERACTION-PAGE'!S30="","",'INTERACTION-PAGE'!S30)</f>
        <v>0</v>
      </c>
      <c r="T30" s="11">
        <f>IF('INTERACTION-PAGE'!T30="","",'INTERACTION-PAGE'!T30)</f>
        <v>16</v>
      </c>
      <c r="U30" s="11">
        <f>IF('INTERACTION-PAGE'!U30="","",'INTERACTION-PAGE'!U30)</f>
        <v>0</v>
      </c>
      <c r="V30" s="11">
        <f>IF('INTERACTION-PAGE'!V30="","",'INTERACTION-PAGE'!V30)</f>
        <v>0</v>
      </c>
      <c r="W30" s="11">
        <f>IF('INTERACTION-PAGE'!W30="","",'INTERACTION-PAGE'!W30)</f>
        <v>0</v>
      </c>
      <c r="X30" s="11">
        <f>IF('INTERACTION-PAGE'!X30="","",'INTERACTION-PAGE'!X30)</f>
        <v>0</v>
      </c>
      <c r="Y30" s="27">
        <f t="shared" si="3"/>
        <v>43.2</v>
      </c>
      <c r="Z30" s="27">
        <f t="shared" si="8"/>
        <v>58.333333333333336</v>
      </c>
      <c r="AA30" s="27">
        <f t="shared" si="4"/>
        <v>80</v>
      </c>
      <c r="AB30" s="27">
        <f t="shared" si="5"/>
        <v>34.285714285714285</v>
      </c>
      <c r="AC30" s="27">
        <f t="shared" si="6"/>
        <v>27.777777777777779</v>
      </c>
      <c r="AD30" s="27" t="str">
        <f t="shared" si="7"/>
        <v xml:space="preserve"> </v>
      </c>
      <c r="AE30" s="28">
        <f t="shared" si="2"/>
        <v>50.099206349206348</v>
      </c>
    </row>
    <row r="31" spans="1:31" ht="15" customHeight="1">
      <c r="A31" s="2">
        <v>21</v>
      </c>
      <c r="B31" s="11" t="str">
        <f>IF('INTERACTION-PAGE'!B31="","",'INTERACTION-PAGE'!B31)</f>
        <v>FEB24052</v>
      </c>
      <c r="C31" s="11" t="str">
        <f>IF('INTERACTION-PAGE'!C31="","",'INTERACTION-PAGE'!C31)</f>
        <v>Debarupa Dhwaj Boruah</v>
      </c>
      <c r="D31" s="11" t="str">
        <f>IF('INTERACTION-PAGE'!D31="","",'INTERACTION-PAGE'!D31)</f>
        <v/>
      </c>
      <c r="E31" s="11">
        <f>IF('INTERACTION-PAGE'!E31="","",'INTERACTION-PAGE'!E31)</f>
        <v>0</v>
      </c>
      <c r="F31" s="11">
        <f>IF('INTERACTION-PAGE'!F31="","",'INTERACTION-PAGE'!F31)</f>
        <v>0</v>
      </c>
      <c r="G31" s="11">
        <f>IF('INTERACTION-PAGE'!G31="","",'INTERACTION-PAGE'!G31)</f>
        <v>8</v>
      </c>
      <c r="H31" s="11">
        <f>IF('INTERACTION-PAGE'!H31="","",'INTERACTION-PAGE'!H31)</f>
        <v>10.5</v>
      </c>
      <c r="I31" s="11">
        <f>IF('INTERACTION-PAGE'!I31="","",'INTERACTION-PAGE'!I31)</f>
        <v>0</v>
      </c>
      <c r="J31" s="11">
        <f>IF('INTERACTION-PAGE'!J31="","",'INTERACTION-PAGE'!J31)</f>
        <v>2.5</v>
      </c>
      <c r="K31" s="11">
        <f>IF('INTERACTION-PAGE'!K31="","",'INTERACTION-PAGE'!K31)</f>
        <v>4</v>
      </c>
      <c r="L31" s="11">
        <f>IF('INTERACTION-PAGE'!L31="","",'INTERACTION-PAGE'!L31)</f>
        <v>7</v>
      </c>
      <c r="M31" s="11">
        <f>IF('INTERACTION-PAGE'!M31="","",'INTERACTION-PAGE'!M31)</f>
        <v>2.5</v>
      </c>
      <c r="N31" s="11">
        <f>IF('INTERACTION-PAGE'!N31="","",'INTERACTION-PAGE'!N31)</f>
        <v>0</v>
      </c>
      <c r="O31" s="11">
        <f>IF('INTERACTION-PAGE'!O31="","",'INTERACTION-PAGE'!O31)</f>
        <v>0</v>
      </c>
      <c r="P31" s="11">
        <f>IF('INTERACTION-PAGE'!P31="","",'INTERACTION-PAGE'!P31)</f>
        <v>0</v>
      </c>
      <c r="Q31" s="11">
        <f>IF('INTERACTION-PAGE'!Q31="","",'INTERACTION-PAGE'!Q31)</f>
        <v>0</v>
      </c>
      <c r="R31" s="11">
        <f>IF('INTERACTION-PAGE'!R31="","",'INTERACTION-PAGE'!R31)</f>
        <v>0</v>
      </c>
      <c r="S31" s="11">
        <f>IF('INTERACTION-PAGE'!S31="","",'INTERACTION-PAGE'!S31)</f>
        <v>0</v>
      </c>
      <c r="T31" s="11">
        <f>IF('INTERACTION-PAGE'!T31="","",'INTERACTION-PAGE'!T31)</f>
        <v>19</v>
      </c>
      <c r="U31" s="11">
        <f>IF('INTERACTION-PAGE'!U31="","",'INTERACTION-PAGE'!U31)</f>
        <v>0</v>
      </c>
      <c r="V31" s="11">
        <f>IF('INTERACTION-PAGE'!V31="","",'INTERACTION-PAGE'!V31)</f>
        <v>0</v>
      </c>
      <c r="W31" s="11">
        <f>IF('INTERACTION-PAGE'!W31="","",'INTERACTION-PAGE'!W31)</f>
        <v>0</v>
      </c>
      <c r="X31" s="11">
        <f>IF('INTERACTION-PAGE'!X31="","",'INTERACTION-PAGE'!X31)</f>
        <v>0</v>
      </c>
      <c r="Y31" s="27">
        <f t="shared" si="3"/>
        <v>42.8</v>
      </c>
      <c r="Z31" s="27">
        <f t="shared" si="8"/>
        <v>71.666666666666671</v>
      </c>
      <c r="AA31" s="27">
        <f t="shared" si="4"/>
        <v>26.666666666666668</v>
      </c>
      <c r="AB31" s="27">
        <f t="shared" si="5"/>
        <v>42.857142857142854</v>
      </c>
      <c r="AC31" s="27">
        <f t="shared" si="6"/>
        <v>28.888888888888889</v>
      </c>
      <c r="AD31" s="27" t="str">
        <f t="shared" si="7"/>
        <v xml:space="preserve"> </v>
      </c>
      <c r="AE31" s="28">
        <f t="shared" si="2"/>
        <v>42.519841269841272</v>
      </c>
    </row>
    <row r="32" spans="1:31" ht="15" customHeight="1">
      <c r="A32" s="3">
        <v>22</v>
      </c>
      <c r="B32" s="11" t="str">
        <f>IF('INTERACTION-PAGE'!B32="","",'INTERACTION-PAGE'!B32)</f>
        <v>FEB24053</v>
      </c>
      <c r="C32" s="11" t="str">
        <f>IF('INTERACTION-PAGE'!C32="","",'INTERACTION-PAGE'!C32)</f>
        <v>Pritishmita Hazarika</v>
      </c>
      <c r="D32" s="11" t="str">
        <f>IF('INTERACTION-PAGE'!D32="","",'INTERACTION-PAGE'!D32)</f>
        <v/>
      </c>
      <c r="E32" s="11">
        <f>IF('INTERACTION-PAGE'!E32="","",'INTERACTION-PAGE'!E32)</f>
        <v>0</v>
      </c>
      <c r="F32" s="11">
        <f>IF('INTERACTION-PAGE'!F32="","",'INTERACTION-PAGE'!F32)</f>
        <v>0</v>
      </c>
      <c r="G32" s="11">
        <f>IF('INTERACTION-PAGE'!G32="","",'INTERACTION-PAGE'!G32)</f>
        <v>10</v>
      </c>
      <c r="H32" s="11">
        <f>IF('INTERACTION-PAGE'!H32="","",'INTERACTION-PAGE'!H32)</f>
        <v>8</v>
      </c>
      <c r="I32" s="11">
        <f>IF('INTERACTION-PAGE'!I32="","",'INTERACTION-PAGE'!I32)</f>
        <v>0</v>
      </c>
      <c r="J32" s="11">
        <f>IF('INTERACTION-PAGE'!J32="","",'INTERACTION-PAGE'!J32)</f>
        <v>1.5</v>
      </c>
      <c r="K32" s="11">
        <f>IF('INTERACTION-PAGE'!K32="","",'INTERACTION-PAGE'!K32)</f>
        <v>7.5</v>
      </c>
      <c r="L32" s="11">
        <f>IF('INTERACTION-PAGE'!L32="","",'INTERACTION-PAGE'!L32)</f>
        <v>9</v>
      </c>
      <c r="M32" s="11">
        <f>IF('INTERACTION-PAGE'!M32="","",'INTERACTION-PAGE'!M32)</f>
        <v>4.5</v>
      </c>
      <c r="N32" s="11">
        <f>IF('INTERACTION-PAGE'!N32="","",'INTERACTION-PAGE'!N32)</f>
        <v>0</v>
      </c>
      <c r="O32" s="11">
        <f>IF('INTERACTION-PAGE'!O32="","",'INTERACTION-PAGE'!O32)</f>
        <v>0</v>
      </c>
      <c r="P32" s="11">
        <f>IF('INTERACTION-PAGE'!P32="","",'INTERACTION-PAGE'!P32)</f>
        <v>0</v>
      </c>
      <c r="Q32" s="11">
        <f>IF('INTERACTION-PAGE'!Q32="","",'INTERACTION-PAGE'!Q32)</f>
        <v>0</v>
      </c>
      <c r="R32" s="11">
        <f>IF('INTERACTION-PAGE'!R32="","",'INTERACTION-PAGE'!R32)</f>
        <v>0</v>
      </c>
      <c r="S32" s="11">
        <f>IF('INTERACTION-PAGE'!S32="","",'INTERACTION-PAGE'!S32)</f>
        <v>0</v>
      </c>
      <c r="T32" s="11">
        <f>IF('INTERACTION-PAGE'!T32="","",'INTERACTION-PAGE'!T32)</f>
        <v>16</v>
      </c>
      <c r="U32" s="11">
        <f>IF('INTERACTION-PAGE'!U32="","",'INTERACTION-PAGE'!U32)</f>
        <v>0</v>
      </c>
      <c r="V32" s="11">
        <f>IF('INTERACTION-PAGE'!V32="","",'INTERACTION-PAGE'!V32)</f>
        <v>0</v>
      </c>
      <c r="W32" s="11">
        <f>IF('INTERACTION-PAGE'!W32="","",'INTERACTION-PAGE'!W32)</f>
        <v>0</v>
      </c>
      <c r="X32" s="11">
        <f>IF('INTERACTION-PAGE'!X32="","",'INTERACTION-PAGE'!X32)</f>
        <v>0</v>
      </c>
      <c r="Y32" s="27">
        <f t="shared" si="3"/>
        <v>45.2</v>
      </c>
      <c r="Z32" s="27">
        <f t="shared" si="8"/>
        <v>58.333333333333336</v>
      </c>
      <c r="AA32" s="27">
        <f t="shared" si="4"/>
        <v>50</v>
      </c>
      <c r="AB32" s="27">
        <f t="shared" si="5"/>
        <v>54.285714285714285</v>
      </c>
      <c r="AC32" s="27">
        <f t="shared" si="6"/>
        <v>27.777777777777779</v>
      </c>
      <c r="AD32" s="27" t="str">
        <f t="shared" si="7"/>
        <v xml:space="preserve"> </v>
      </c>
      <c r="AE32" s="28">
        <f t="shared" si="2"/>
        <v>47.599206349206348</v>
      </c>
    </row>
    <row r="33" spans="1:31" ht="15" customHeight="1">
      <c r="A33" s="2">
        <v>23</v>
      </c>
      <c r="B33" s="11" t="str">
        <f>IF('INTERACTION-PAGE'!B33="","",'INTERACTION-PAGE'!B33)</f>
        <v>FEB24054</v>
      </c>
      <c r="C33" s="11" t="str">
        <f>IF('INTERACTION-PAGE'!C33="","",'INTERACTION-PAGE'!C33)</f>
        <v>Dhritishman Gogoi</v>
      </c>
      <c r="D33" s="11" t="str">
        <f>IF('INTERACTION-PAGE'!D33="","",'INTERACTION-PAGE'!D33)</f>
        <v/>
      </c>
      <c r="E33" s="11">
        <f>IF('INTERACTION-PAGE'!E33="","",'INTERACTION-PAGE'!E33)</f>
        <v>0</v>
      </c>
      <c r="F33" s="11">
        <f>IF('INTERACTION-PAGE'!F33="","",'INTERACTION-PAGE'!F33)</f>
        <v>0</v>
      </c>
      <c r="G33" s="11">
        <f>IF('INTERACTION-PAGE'!G33="","",'INTERACTION-PAGE'!G33)</f>
        <v>11</v>
      </c>
      <c r="H33" s="11">
        <f>IF('INTERACTION-PAGE'!H33="","",'INTERACTION-PAGE'!H33)</f>
        <v>7.5</v>
      </c>
      <c r="I33" s="11">
        <f>IF('INTERACTION-PAGE'!I33="","",'INTERACTION-PAGE'!I33)</f>
        <v>0</v>
      </c>
      <c r="J33" s="11">
        <f>IF('INTERACTION-PAGE'!J33="","",'INTERACTION-PAGE'!J33)</f>
        <v>1.5</v>
      </c>
      <c r="K33" s="11">
        <f>IF('INTERACTION-PAGE'!K33="","",'INTERACTION-PAGE'!K33)</f>
        <v>7.5</v>
      </c>
      <c r="L33" s="11">
        <f>IF('INTERACTION-PAGE'!L33="","",'INTERACTION-PAGE'!L33)</f>
        <v>7</v>
      </c>
      <c r="M33" s="11">
        <f>IF('INTERACTION-PAGE'!M33="","",'INTERACTION-PAGE'!M33)</f>
        <v>2.5</v>
      </c>
      <c r="N33" s="11">
        <f>IF('INTERACTION-PAGE'!N33="","",'INTERACTION-PAGE'!N33)</f>
        <v>0</v>
      </c>
      <c r="O33" s="11">
        <f>IF('INTERACTION-PAGE'!O33="","",'INTERACTION-PAGE'!O33)</f>
        <v>0</v>
      </c>
      <c r="P33" s="11">
        <f>IF('INTERACTION-PAGE'!P33="","",'INTERACTION-PAGE'!P33)</f>
        <v>0</v>
      </c>
      <c r="Q33" s="11">
        <f>IF('INTERACTION-PAGE'!Q33="","",'INTERACTION-PAGE'!Q33)</f>
        <v>0</v>
      </c>
      <c r="R33" s="11">
        <f>IF('INTERACTION-PAGE'!R33="","",'INTERACTION-PAGE'!R33)</f>
        <v>0</v>
      </c>
      <c r="S33" s="11">
        <f>IF('INTERACTION-PAGE'!S33="","",'INTERACTION-PAGE'!S33)</f>
        <v>0</v>
      </c>
      <c r="T33" s="11">
        <f>IF('INTERACTION-PAGE'!T33="","",'INTERACTION-PAGE'!T33)</f>
        <v>20</v>
      </c>
      <c r="U33" s="11">
        <f>IF('INTERACTION-PAGE'!U33="","",'INTERACTION-PAGE'!U33)</f>
        <v>0</v>
      </c>
      <c r="V33" s="11">
        <f>IF('INTERACTION-PAGE'!V33="","",'INTERACTION-PAGE'!V33)</f>
        <v>0</v>
      </c>
      <c r="W33" s="11">
        <f>IF('INTERACTION-PAGE'!W33="","",'INTERACTION-PAGE'!W33)</f>
        <v>0</v>
      </c>
      <c r="X33" s="11">
        <f>IF('INTERACTION-PAGE'!X33="","",'INTERACTION-PAGE'!X33)</f>
        <v>0</v>
      </c>
      <c r="Y33" s="27">
        <f t="shared" si="3"/>
        <v>45.6</v>
      </c>
      <c r="Z33" s="27">
        <f t="shared" si="8"/>
        <v>71.666666666666671</v>
      </c>
      <c r="AA33" s="27">
        <f t="shared" si="4"/>
        <v>50</v>
      </c>
      <c r="AB33" s="27">
        <f t="shared" si="5"/>
        <v>51.428571428571431</v>
      </c>
      <c r="AC33" s="27">
        <f t="shared" si="6"/>
        <v>22.222222222222221</v>
      </c>
      <c r="AD33" s="27" t="str">
        <f t="shared" si="7"/>
        <v xml:space="preserve"> </v>
      </c>
      <c r="AE33" s="28">
        <f t="shared" si="2"/>
        <v>48.829365079365083</v>
      </c>
    </row>
    <row r="34" spans="1:31" ht="15" customHeight="1">
      <c r="A34" s="3">
        <v>24</v>
      </c>
      <c r="B34" s="11" t="str">
        <f>IF('INTERACTION-PAGE'!B34="","",'INTERACTION-PAGE'!B34)</f>
        <v>FEB24055</v>
      </c>
      <c r="C34" s="11" t="str">
        <f>IF('INTERACTION-PAGE'!C34="","",'INTERACTION-PAGE'!C34)</f>
        <v>Md Masum Rahman</v>
      </c>
      <c r="D34" s="11" t="str">
        <f>IF('INTERACTION-PAGE'!D34="","",'INTERACTION-PAGE'!D34)</f>
        <v/>
      </c>
      <c r="E34" s="11">
        <f>IF('INTERACTION-PAGE'!E34="","",'INTERACTION-PAGE'!E34)</f>
        <v>0</v>
      </c>
      <c r="F34" s="11">
        <f>IF('INTERACTION-PAGE'!F34="","",'INTERACTION-PAGE'!F34)</f>
        <v>0</v>
      </c>
      <c r="G34" s="11">
        <f>IF('INTERACTION-PAGE'!G34="","",'INTERACTION-PAGE'!G34)</f>
        <v>10</v>
      </c>
      <c r="H34" s="11">
        <f>IF('INTERACTION-PAGE'!H34="","",'INTERACTION-PAGE'!H34)</f>
        <v>10</v>
      </c>
      <c r="I34" s="11">
        <f>IF('INTERACTION-PAGE'!I34="","",'INTERACTION-PAGE'!I34)</f>
        <v>0</v>
      </c>
      <c r="J34" s="11">
        <f>IF('INTERACTION-PAGE'!J34="","",'INTERACTION-PAGE'!J34)</f>
        <v>1.5</v>
      </c>
      <c r="K34" s="11">
        <f>IF('INTERACTION-PAGE'!K34="","",'INTERACTION-PAGE'!K34)</f>
        <v>9.5</v>
      </c>
      <c r="L34" s="11">
        <f>IF('INTERACTION-PAGE'!L34="","",'INTERACTION-PAGE'!L34)</f>
        <v>4</v>
      </c>
      <c r="M34" s="11">
        <f>IF('INTERACTION-PAGE'!M34="","",'INTERACTION-PAGE'!M34)</f>
        <v>3.5</v>
      </c>
      <c r="N34" s="11">
        <f>IF('INTERACTION-PAGE'!N34="","",'INTERACTION-PAGE'!N34)</f>
        <v>0</v>
      </c>
      <c r="O34" s="11">
        <f>IF('INTERACTION-PAGE'!O34="","",'INTERACTION-PAGE'!O34)</f>
        <v>0</v>
      </c>
      <c r="P34" s="11">
        <f>IF('INTERACTION-PAGE'!P34="","",'INTERACTION-PAGE'!P34)</f>
        <v>0</v>
      </c>
      <c r="Q34" s="11">
        <f>IF('INTERACTION-PAGE'!Q34="","",'INTERACTION-PAGE'!Q34)</f>
        <v>0</v>
      </c>
      <c r="R34" s="11">
        <f>IF('INTERACTION-PAGE'!R34="","",'INTERACTION-PAGE'!R34)</f>
        <v>0</v>
      </c>
      <c r="S34" s="11">
        <f>IF('INTERACTION-PAGE'!S34="","",'INTERACTION-PAGE'!S34)</f>
        <v>0</v>
      </c>
      <c r="T34" s="11">
        <f>IF('INTERACTION-PAGE'!T34="","",'INTERACTION-PAGE'!T34)</f>
        <v>18</v>
      </c>
      <c r="U34" s="11">
        <f>IF('INTERACTION-PAGE'!U34="","",'INTERACTION-PAGE'!U34)</f>
        <v>0</v>
      </c>
      <c r="V34" s="11">
        <f>IF('INTERACTION-PAGE'!V34="","",'INTERACTION-PAGE'!V34)</f>
        <v>0</v>
      </c>
      <c r="W34" s="11">
        <f>IF('INTERACTION-PAGE'!W34="","",'INTERACTION-PAGE'!W34)</f>
        <v>0</v>
      </c>
      <c r="X34" s="11">
        <f>IF('INTERACTION-PAGE'!X34="","",'INTERACTION-PAGE'!X34)</f>
        <v>0</v>
      </c>
      <c r="Y34" s="27">
        <f t="shared" si="3"/>
        <v>45.2</v>
      </c>
      <c r="Z34" s="27">
        <f t="shared" si="8"/>
        <v>65</v>
      </c>
      <c r="AA34" s="27">
        <f t="shared" si="4"/>
        <v>63.333333333333336</v>
      </c>
      <c r="AB34" s="27">
        <f t="shared" si="5"/>
        <v>40</v>
      </c>
      <c r="AC34" s="27">
        <f t="shared" si="6"/>
        <v>30</v>
      </c>
      <c r="AD34" s="27" t="str">
        <f t="shared" si="7"/>
        <v xml:space="preserve"> </v>
      </c>
      <c r="AE34" s="28">
        <f t="shared" si="2"/>
        <v>49.583333333333336</v>
      </c>
    </row>
    <row r="35" spans="1:31" ht="15" customHeight="1">
      <c r="A35" s="2">
        <v>25</v>
      </c>
      <c r="B35" s="11" t="str">
        <f>IF('INTERACTION-PAGE'!B35="","",'INTERACTION-PAGE'!B35)</f>
        <v>FEB24057</v>
      </c>
      <c r="C35" s="11" t="str">
        <f>IF('INTERACTION-PAGE'!C35="","",'INTERACTION-PAGE'!C35)</f>
        <v>Naba Pallab Nath</v>
      </c>
      <c r="D35" s="11" t="str">
        <f>IF('INTERACTION-PAGE'!D35="","",'INTERACTION-PAGE'!D35)</f>
        <v/>
      </c>
      <c r="E35" s="11">
        <f>IF('INTERACTION-PAGE'!E35="","",'INTERACTION-PAGE'!E35)</f>
        <v>0</v>
      </c>
      <c r="F35" s="11">
        <f>IF('INTERACTION-PAGE'!F35="","",'INTERACTION-PAGE'!F35)</f>
        <v>2</v>
      </c>
      <c r="G35" s="11">
        <f>IF('INTERACTION-PAGE'!G35="","",'INTERACTION-PAGE'!G35)</f>
        <v>8</v>
      </c>
      <c r="H35" s="11">
        <f>IF('INTERACTION-PAGE'!H35="","",'INTERACTION-PAGE'!H35)</f>
        <v>11</v>
      </c>
      <c r="I35" s="11">
        <f>IF('INTERACTION-PAGE'!I35="","",'INTERACTION-PAGE'!I35)</f>
        <v>0</v>
      </c>
      <c r="J35" s="11">
        <f>IF('INTERACTION-PAGE'!J35="","",'INTERACTION-PAGE'!J35)</f>
        <v>3</v>
      </c>
      <c r="K35" s="11">
        <f>IF('INTERACTION-PAGE'!K35="","",'INTERACTION-PAGE'!K35)</f>
        <v>4</v>
      </c>
      <c r="L35" s="11">
        <f>IF('INTERACTION-PAGE'!L35="","",'INTERACTION-PAGE'!L35)</f>
        <v>8</v>
      </c>
      <c r="M35" s="11">
        <f>IF('INTERACTION-PAGE'!M35="","",'INTERACTION-PAGE'!M35)</f>
        <v>2</v>
      </c>
      <c r="N35" s="11">
        <f>IF('INTERACTION-PAGE'!N35="","",'INTERACTION-PAGE'!N35)</f>
        <v>0</v>
      </c>
      <c r="O35" s="11">
        <f>IF('INTERACTION-PAGE'!O35="","",'INTERACTION-PAGE'!O35)</f>
        <v>0</v>
      </c>
      <c r="P35" s="11">
        <f>IF('INTERACTION-PAGE'!P35="","",'INTERACTION-PAGE'!P35)</f>
        <v>0</v>
      </c>
      <c r="Q35" s="11">
        <f>IF('INTERACTION-PAGE'!Q35="","",'INTERACTION-PAGE'!Q35)</f>
        <v>0</v>
      </c>
      <c r="R35" s="11">
        <f>IF('INTERACTION-PAGE'!R35="","",'INTERACTION-PAGE'!R35)</f>
        <v>0</v>
      </c>
      <c r="S35" s="11">
        <f>IF('INTERACTION-PAGE'!S35="","",'INTERACTION-PAGE'!S35)</f>
        <v>0</v>
      </c>
      <c r="T35" s="11">
        <f>IF('INTERACTION-PAGE'!T35="","",'INTERACTION-PAGE'!T35)</f>
        <v>22</v>
      </c>
      <c r="U35" s="11">
        <f>IF('INTERACTION-PAGE'!U35="","",'INTERACTION-PAGE'!U35)</f>
        <v>0</v>
      </c>
      <c r="V35" s="11">
        <f>IF('INTERACTION-PAGE'!V35="","",'INTERACTION-PAGE'!V35)</f>
        <v>0</v>
      </c>
      <c r="W35" s="11">
        <f>IF('INTERACTION-PAGE'!W35="","",'INTERACTION-PAGE'!W35)</f>
        <v>0</v>
      </c>
      <c r="X35" s="11">
        <f>IF('INTERACTION-PAGE'!X35="","",'INTERACTION-PAGE'!X35)</f>
        <v>0</v>
      </c>
      <c r="Y35" s="27">
        <f t="shared" si="3"/>
        <v>48</v>
      </c>
      <c r="Z35" s="27">
        <f t="shared" si="8"/>
        <v>83.333333333333329</v>
      </c>
      <c r="AA35" s="27">
        <f t="shared" si="4"/>
        <v>40</v>
      </c>
      <c r="AB35" s="27">
        <f t="shared" si="5"/>
        <v>45.714285714285715</v>
      </c>
      <c r="AC35" s="27">
        <f t="shared" si="6"/>
        <v>28.888888888888889</v>
      </c>
      <c r="AD35" s="27" t="str">
        <f t="shared" si="7"/>
        <v xml:space="preserve"> </v>
      </c>
      <c r="AE35" s="28">
        <f t="shared" si="2"/>
        <v>49.484126984126981</v>
      </c>
    </row>
    <row r="36" spans="1:31" ht="15" customHeight="1">
      <c r="A36" s="3">
        <v>26</v>
      </c>
      <c r="B36" s="11" t="str">
        <f>IF('INTERACTION-PAGE'!B36="","",'INTERACTION-PAGE'!B36)</f>
        <v>FEB24059</v>
      </c>
      <c r="C36" s="11" t="str">
        <f>IF('INTERACTION-PAGE'!C36="","",'INTERACTION-PAGE'!C36)</f>
        <v>Tapan Kumar Gogoi</v>
      </c>
      <c r="D36" s="11" t="str">
        <f>IF('INTERACTION-PAGE'!D36="","",'INTERACTION-PAGE'!D36)</f>
        <v/>
      </c>
      <c r="E36" s="11">
        <f>IF('INTERACTION-PAGE'!E36="","",'INTERACTION-PAGE'!E36)</f>
        <v>0</v>
      </c>
      <c r="F36" s="11">
        <f>IF('INTERACTION-PAGE'!F36="","",'INTERACTION-PAGE'!F36)</f>
        <v>0</v>
      </c>
      <c r="G36" s="11">
        <f>IF('INTERACTION-PAGE'!G36="","",'INTERACTION-PAGE'!G36)</f>
        <v>12</v>
      </c>
      <c r="H36" s="11">
        <f>IF('INTERACTION-PAGE'!H36="","",'INTERACTION-PAGE'!H36)</f>
        <v>8.5</v>
      </c>
      <c r="I36" s="11">
        <f>IF('INTERACTION-PAGE'!I36="","",'INTERACTION-PAGE'!I36)</f>
        <v>0</v>
      </c>
      <c r="J36" s="11">
        <f>IF('INTERACTION-PAGE'!J36="","",'INTERACTION-PAGE'!J36)</f>
        <v>2.5</v>
      </c>
      <c r="K36" s="11">
        <f>IF('INTERACTION-PAGE'!K36="","",'INTERACTION-PAGE'!K36)</f>
        <v>6</v>
      </c>
      <c r="L36" s="11">
        <f>IF('INTERACTION-PAGE'!L36="","",'INTERACTION-PAGE'!L36)</f>
        <v>6</v>
      </c>
      <c r="M36" s="11">
        <f>IF('INTERACTION-PAGE'!M36="","",'INTERACTION-PAGE'!M36)</f>
        <v>4.5</v>
      </c>
      <c r="N36" s="11">
        <f>IF('INTERACTION-PAGE'!N36="","",'INTERACTION-PAGE'!N36)</f>
        <v>0</v>
      </c>
      <c r="O36" s="11">
        <f>IF('INTERACTION-PAGE'!O36="","",'INTERACTION-PAGE'!O36)</f>
        <v>0</v>
      </c>
      <c r="P36" s="11">
        <f>IF('INTERACTION-PAGE'!P36="","",'INTERACTION-PAGE'!P36)</f>
        <v>0</v>
      </c>
      <c r="Q36" s="11">
        <f>IF('INTERACTION-PAGE'!Q36="","",'INTERACTION-PAGE'!Q36)</f>
        <v>0</v>
      </c>
      <c r="R36" s="11">
        <f>IF('INTERACTION-PAGE'!R36="","",'INTERACTION-PAGE'!R36)</f>
        <v>0</v>
      </c>
      <c r="S36" s="11">
        <f>IF('INTERACTION-PAGE'!S36="","",'INTERACTION-PAGE'!S36)</f>
        <v>0</v>
      </c>
      <c r="T36" s="11">
        <f>IF('INTERACTION-PAGE'!T36="","",'INTERACTION-PAGE'!T36)</f>
        <v>20</v>
      </c>
      <c r="U36" s="11">
        <f>IF('INTERACTION-PAGE'!U36="","",'INTERACTION-PAGE'!U36)</f>
        <v>0</v>
      </c>
      <c r="V36" s="11">
        <f>IF('INTERACTION-PAGE'!V36="","",'INTERACTION-PAGE'!V36)</f>
        <v>0</v>
      </c>
      <c r="W36" s="11">
        <f>IF('INTERACTION-PAGE'!W36="","",'INTERACTION-PAGE'!W36)</f>
        <v>0</v>
      </c>
      <c r="X36" s="11">
        <f>IF('INTERACTION-PAGE'!X36="","",'INTERACTION-PAGE'!X36)</f>
        <v>0</v>
      </c>
      <c r="Y36" s="27">
        <f t="shared" si="3"/>
        <v>47.6</v>
      </c>
      <c r="Z36" s="27">
        <f t="shared" si="8"/>
        <v>75</v>
      </c>
      <c r="AA36" s="27">
        <f t="shared" si="4"/>
        <v>40</v>
      </c>
      <c r="AB36" s="27">
        <f t="shared" si="5"/>
        <v>51.428571428571431</v>
      </c>
      <c r="AC36" s="27">
        <f t="shared" si="6"/>
        <v>28.888888888888889</v>
      </c>
      <c r="AD36" s="27" t="str">
        <f t="shared" si="7"/>
        <v xml:space="preserve"> </v>
      </c>
      <c r="AE36" s="28">
        <f t="shared" si="2"/>
        <v>48.829365079365083</v>
      </c>
    </row>
    <row r="37" spans="1:31" ht="15" customHeight="1">
      <c r="A37" s="2">
        <v>27</v>
      </c>
      <c r="B37" s="11" t="str">
        <f>IF('INTERACTION-PAGE'!B37="","",'INTERACTION-PAGE'!B37)</f>
        <v>FEB24060</v>
      </c>
      <c r="C37" s="11" t="str">
        <f>IF('INTERACTION-PAGE'!C37="","",'INTERACTION-PAGE'!C37)</f>
        <v>Bidyut Patar</v>
      </c>
      <c r="D37" s="11" t="str">
        <f>IF('INTERACTION-PAGE'!D37="","",'INTERACTION-PAGE'!D37)</f>
        <v/>
      </c>
      <c r="E37" s="11">
        <f>IF('INTERACTION-PAGE'!E37="","",'INTERACTION-PAGE'!E37)</f>
        <v>0</v>
      </c>
      <c r="F37" s="11">
        <f>IF('INTERACTION-PAGE'!F37="","",'INTERACTION-PAGE'!F37)</f>
        <v>0</v>
      </c>
      <c r="G37" s="11">
        <f>IF('INTERACTION-PAGE'!G37="","",'INTERACTION-PAGE'!G37)</f>
        <v>11</v>
      </c>
      <c r="H37" s="11">
        <f>IF('INTERACTION-PAGE'!H37="","",'INTERACTION-PAGE'!H37)</f>
        <v>6</v>
      </c>
      <c r="I37" s="11">
        <f>IF('INTERACTION-PAGE'!I37="","",'INTERACTION-PAGE'!I37)</f>
        <v>0</v>
      </c>
      <c r="J37" s="11">
        <f>IF('INTERACTION-PAGE'!J37="","",'INTERACTION-PAGE'!J37)</f>
        <v>2</v>
      </c>
      <c r="K37" s="11">
        <f>IF('INTERACTION-PAGE'!K37="","",'INTERACTION-PAGE'!K37)</f>
        <v>6</v>
      </c>
      <c r="L37" s="11">
        <f>IF('INTERACTION-PAGE'!L37="","",'INTERACTION-PAGE'!L37)</f>
        <v>6</v>
      </c>
      <c r="M37" s="11">
        <f>IF('INTERACTION-PAGE'!M37="","",'INTERACTION-PAGE'!M37)</f>
        <v>2</v>
      </c>
      <c r="N37" s="11">
        <f>IF('INTERACTION-PAGE'!N37="","",'INTERACTION-PAGE'!N37)</f>
        <v>0</v>
      </c>
      <c r="O37" s="11">
        <f>IF('INTERACTION-PAGE'!O37="","",'INTERACTION-PAGE'!O37)</f>
        <v>0</v>
      </c>
      <c r="P37" s="11">
        <f>IF('INTERACTION-PAGE'!P37="","",'INTERACTION-PAGE'!P37)</f>
        <v>0</v>
      </c>
      <c r="Q37" s="11">
        <f>IF('INTERACTION-PAGE'!Q37="","",'INTERACTION-PAGE'!Q37)</f>
        <v>0</v>
      </c>
      <c r="R37" s="11">
        <f>IF('INTERACTION-PAGE'!R37="","",'INTERACTION-PAGE'!R37)</f>
        <v>0</v>
      </c>
      <c r="S37" s="11">
        <f>IF('INTERACTION-PAGE'!S37="","",'INTERACTION-PAGE'!S37)</f>
        <v>0</v>
      </c>
      <c r="T37" s="11">
        <f>IF('INTERACTION-PAGE'!T37="","",'INTERACTION-PAGE'!T37)</f>
        <v>19</v>
      </c>
      <c r="U37" s="11">
        <f>IF('INTERACTION-PAGE'!U37="","",'INTERACTION-PAGE'!U37)</f>
        <v>0</v>
      </c>
      <c r="V37" s="11">
        <f>IF('INTERACTION-PAGE'!V37="","",'INTERACTION-PAGE'!V37)</f>
        <v>0</v>
      </c>
      <c r="W37" s="11">
        <f>IF('INTERACTION-PAGE'!W37="","",'INTERACTION-PAGE'!W37)</f>
        <v>0</v>
      </c>
      <c r="X37" s="11">
        <f>IF('INTERACTION-PAGE'!X37="","",'INTERACTION-PAGE'!X37)</f>
        <v>0</v>
      </c>
      <c r="Y37" s="27">
        <f t="shared" si="3"/>
        <v>41.6</v>
      </c>
      <c r="Z37" s="27">
        <f t="shared" si="8"/>
        <v>70</v>
      </c>
      <c r="AA37" s="27">
        <f t="shared" si="4"/>
        <v>40</v>
      </c>
      <c r="AB37" s="27">
        <f t="shared" si="5"/>
        <v>48.571428571428569</v>
      </c>
      <c r="AC37" s="27">
        <f t="shared" si="6"/>
        <v>17.777777777777779</v>
      </c>
      <c r="AD37" s="27" t="str">
        <f t="shared" si="7"/>
        <v xml:space="preserve"> </v>
      </c>
      <c r="AE37" s="28">
        <f t="shared" si="2"/>
        <v>44.087301587301582</v>
      </c>
    </row>
    <row r="38" spans="1:31" ht="15" customHeight="1">
      <c r="A38" s="3">
        <v>28</v>
      </c>
      <c r="B38" s="11" t="str">
        <f>IF('INTERACTION-PAGE'!B38="","",'INTERACTION-PAGE'!B38)</f>
        <v>FEB24061</v>
      </c>
      <c r="C38" s="11" t="str">
        <f>IF('INTERACTION-PAGE'!C38="","",'INTERACTION-PAGE'!C38)</f>
        <v>Dhurba Raj Borah</v>
      </c>
      <c r="D38" s="11" t="str">
        <f>IF('INTERACTION-PAGE'!D38="","",'INTERACTION-PAGE'!D38)</f>
        <v/>
      </c>
      <c r="E38" s="11">
        <f>IF('INTERACTION-PAGE'!E38="","",'INTERACTION-PAGE'!E38)</f>
        <v>0</v>
      </c>
      <c r="F38" s="11">
        <f>IF('INTERACTION-PAGE'!F38="","",'INTERACTION-PAGE'!F38)</f>
        <v>0</v>
      </c>
      <c r="G38" s="11">
        <f>IF('INTERACTION-PAGE'!G38="","",'INTERACTION-PAGE'!G38)</f>
        <v>8</v>
      </c>
      <c r="H38" s="11">
        <f>IF('INTERACTION-PAGE'!H38="","",'INTERACTION-PAGE'!H38)</f>
        <v>5.5</v>
      </c>
      <c r="I38" s="11">
        <f>IF('INTERACTION-PAGE'!I38="","",'INTERACTION-PAGE'!I38)</f>
        <v>0</v>
      </c>
      <c r="J38" s="11">
        <f>IF('INTERACTION-PAGE'!J38="","",'INTERACTION-PAGE'!J38)</f>
        <v>3.5</v>
      </c>
      <c r="K38" s="11">
        <f>IF('INTERACTION-PAGE'!K38="","",'INTERACTION-PAGE'!K38)</f>
        <v>4</v>
      </c>
      <c r="L38" s="11">
        <f>IF('INTERACTION-PAGE'!L38="","",'INTERACTION-PAGE'!L38)</f>
        <v>6</v>
      </c>
      <c r="M38" s="11">
        <f>IF('INTERACTION-PAGE'!M38="","",'INTERACTION-PAGE'!M38)</f>
        <v>2.5</v>
      </c>
      <c r="N38" s="11">
        <f>IF('INTERACTION-PAGE'!N38="","",'INTERACTION-PAGE'!N38)</f>
        <v>0</v>
      </c>
      <c r="O38" s="11">
        <f>IF('INTERACTION-PAGE'!O38="","",'INTERACTION-PAGE'!O38)</f>
        <v>0</v>
      </c>
      <c r="P38" s="11">
        <f>IF('INTERACTION-PAGE'!P38="","",'INTERACTION-PAGE'!P38)</f>
        <v>0</v>
      </c>
      <c r="Q38" s="11">
        <f>IF('INTERACTION-PAGE'!Q38="","",'INTERACTION-PAGE'!Q38)</f>
        <v>0</v>
      </c>
      <c r="R38" s="11">
        <f>IF('INTERACTION-PAGE'!R38="","",'INTERACTION-PAGE'!R38)</f>
        <v>0</v>
      </c>
      <c r="S38" s="11">
        <f>IF('INTERACTION-PAGE'!S38="","",'INTERACTION-PAGE'!S38)</f>
        <v>0</v>
      </c>
      <c r="T38" s="11">
        <f>IF('INTERACTION-PAGE'!T38="","",'INTERACTION-PAGE'!T38)</f>
        <v>21</v>
      </c>
      <c r="U38" s="11">
        <f>IF('INTERACTION-PAGE'!U38="","",'INTERACTION-PAGE'!U38)</f>
        <v>0</v>
      </c>
      <c r="V38" s="11">
        <f>IF('INTERACTION-PAGE'!V38="","",'INTERACTION-PAGE'!V38)</f>
        <v>0</v>
      </c>
      <c r="W38" s="11">
        <f>IF('INTERACTION-PAGE'!W38="","",'INTERACTION-PAGE'!W38)</f>
        <v>0</v>
      </c>
      <c r="X38" s="11">
        <f>IF('INTERACTION-PAGE'!X38="","",'INTERACTION-PAGE'!X38)</f>
        <v>0</v>
      </c>
      <c r="Y38" s="27">
        <f t="shared" si="3"/>
        <v>40.4</v>
      </c>
      <c r="Z38" s="27">
        <f t="shared" si="8"/>
        <v>81.666666666666671</v>
      </c>
      <c r="AA38" s="27">
        <f t="shared" si="4"/>
        <v>26.666666666666668</v>
      </c>
      <c r="AB38" s="27">
        <f t="shared" si="5"/>
        <v>40</v>
      </c>
      <c r="AC38" s="27">
        <f t="shared" si="6"/>
        <v>17.777777777777779</v>
      </c>
      <c r="AD38" s="27" t="str">
        <f t="shared" si="7"/>
        <v xml:space="preserve"> </v>
      </c>
      <c r="AE38" s="28">
        <f t="shared" si="2"/>
        <v>41.527777777777779</v>
      </c>
    </row>
    <row r="39" spans="1:31" ht="15" customHeight="1">
      <c r="A39" s="2">
        <v>29</v>
      </c>
      <c r="B39" s="11" t="str">
        <f>IF('INTERACTION-PAGE'!B39="","",'INTERACTION-PAGE'!B39)</f>
        <v>FEB24062</v>
      </c>
      <c r="C39" s="11" t="str">
        <f>IF('INTERACTION-PAGE'!C39="","",'INTERACTION-PAGE'!C39)</f>
        <v>Prabal Phukan</v>
      </c>
      <c r="D39" s="11" t="str">
        <f>IF('INTERACTION-PAGE'!D39="","",'INTERACTION-PAGE'!D39)</f>
        <v/>
      </c>
      <c r="E39" s="11">
        <f>IF('INTERACTION-PAGE'!E39="","",'INTERACTION-PAGE'!E39)</f>
        <v>0</v>
      </c>
      <c r="F39" s="11">
        <f>IF('INTERACTION-PAGE'!F39="","",'INTERACTION-PAGE'!F39)</f>
        <v>0.5</v>
      </c>
      <c r="G39" s="11">
        <f>IF('INTERACTION-PAGE'!G39="","",'INTERACTION-PAGE'!G39)</f>
        <v>9</v>
      </c>
      <c r="H39" s="11">
        <f>IF('INTERACTION-PAGE'!H39="","",'INTERACTION-PAGE'!H39)</f>
        <v>3</v>
      </c>
      <c r="I39" s="11">
        <f>IF('INTERACTION-PAGE'!I39="","",'INTERACTION-PAGE'!I39)</f>
        <v>0</v>
      </c>
      <c r="J39" s="11">
        <f>IF('INTERACTION-PAGE'!J39="","",'INTERACTION-PAGE'!J39)</f>
        <v>2</v>
      </c>
      <c r="K39" s="11">
        <f>IF('INTERACTION-PAGE'!K39="","",'INTERACTION-PAGE'!K39)</f>
        <v>5</v>
      </c>
      <c r="L39" s="11">
        <f>IF('INTERACTION-PAGE'!L39="","",'INTERACTION-PAGE'!L39)</f>
        <v>6</v>
      </c>
      <c r="M39" s="11">
        <f>IF('INTERACTION-PAGE'!M39="","",'INTERACTION-PAGE'!M39)</f>
        <v>2</v>
      </c>
      <c r="N39" s="11">
        <f>IF('INTERACTION-PAGE'!N39="","",'INTERACTION-PAGE'!N39)</f>
        <v>0</v>
      </c>
      <c r="O39" s="11">
        <f>IF('INTERACTION-PAGE'!O39="","",'INTERACTION-PAGE'!O39)</f>
        <v>0</v>
      </c>
      <c r="P39" s="11">
        <f>IF('INTERACTION-PAGE'!P39="","",'INTERACTION-PAGE'!P39)</f>
        <v>0</v>
      </c>
      <c r="Q39" s="11">
        <f>IF('INTERACTION-PAGE'!Q39="","",'INTERACTION-PAGE'!Q39)</f>
        <v>0</v>
      </c>
      <c r="R39" s="11">
        <f>IF('INTERACTION-PAGE'!R39="","",'INTERACTION-PAGE'!R39)</f>
        <v>0</v>
      </c>
      <c r="S39" s="11">
        <f>IF('INTERACTION-PAGE'!S39="","",'INTERACTION-PAGE'!S39)</f>
        <v>0</v>
      </c>
      <c r="T39" s="11">
        <f>IF('INTERACTION-PAGE'!T39="","",'INTERACTION-PAGE'!T39)</f>
        <v>19</v>
      </c>
      <c r="U39" s="11">
        <f>IF('INTERACTION-PAGE'!U39="","",'INTERACTION-PAGE'!U39)</f>
        <v>0</v>
      </c>
      <c r="V39" s="11">
        <f>IF('INTERACTION-PAGE'!V39="","",'INTERACTION-PAGE'!V39)</f>
        <v>0</v>
      </c>
      <c r="W39" s="11">
        <f>IF('INTERACTION-PAGE'!W39="","",'INTERACTION-PAGE'!W39)</f>
        <v>0</v>
      </c>
      <c r="X39" s="11">
        <f>IF('INTERACTION-PAGE'!X39="","",'INTERACTION-PAGE'!X39)</f>
        <v>0</v>
      </c>
      <c r="Y39" s="27">
        <f t="shared" si="3"/>
        <v>37.200000000000003</v>
      </c>
      <c r="Z39" s="27">
        <f t="shared" si="8"/>
        <v>70</v>
      </c>
      <c r="AA39" s="27">
        <f t="shared" si="4"/>
        <v>36.666666666666664</v>
      </c>
      <c r="AB39" s="27">
        <f t="shared" si="5"/>
        <v>42.857142857142854</v>
      </c>
      <c r="AC39" s="27">
        <f t="shared" si="6"/>
        <v>11.111111111111111</v>
      </c>
      <c r="AD39" s="27" t="str">
        <f t="shared" si="7"/>
        <v xml:space="preserve"> </v>
      </c>
      <c r="AE39" s="28">
        <f t="shared" si="2"/>
        <v>40.158730158730158</v>
      </c>
    </row>
    <row r="40" spans="1:31" ht="15" customHeight="1">
      <c r="A40" s="3">
        <v>30</v>
      </c>
      <c r="B40" s="11" t="str">
        <f>IF('INTERACTION-PAGE'!B40="","",'INTERACTION-PAGE'!B40)</f>
        <v>FEB24063</v>
      </c>
      <c r="C40" s="11" t="str">
        <f>IF('INTERACTION-PAGE'!C40="","",'INTERACTION-PAGE'!C40)</f>
        <v>Yuvaraj Nath</v>
      </c>
      <c r="D40" s="11" t="str">
        <f>IF('INTERACTION-PAGE'!D40="","",'INTERACTION-PAGE'!D40)</f>
        <v/>
      </c>
      <c r="E40" s="11">
        <f>IF('INTERACTION-PAGE'!E40="","",'INTERACTION-PAGE'!E40)</f>
        <v>0</v>
      </c>
      <c r="F40" s="11">
        <f>IF('INTERACTION-PAGE'!F40="","",'INTERACTION-PAGE'!F40)</f>
        <v>5</v>
      </c>
      <c r="G40" s="11">
        <f>IF('INTERACTION-PAGE'!G40="","",'INTERACTION-PAGE'!G40)</f>
        <v>12</v>
      </c>
      <c r="H40" s="11">
        <f>IF('INTERACTION-PAGE'!H40="","",'INTERACTION-PAGE'!H40)</f>
        <v>24</v>
      </c>
      <c r="I40" s="11">
        <f>IF('INTERACTION-PAGE'!I40="","",'INTERACTION-PAGE'!I40)</f>
        <v>0</v>
      </c>
      <c r="J40" s="11">
        <f>IF('INTERACTION-PAGE'!J40="","",'INTERACTION-PAGE'!J40)</f>
        <v>0</v>
      </c>
      <c r="K40" s="11">
        <f>IF('INTERACTION-PAGE'!K40="","",'INTERACTION-PAGE'!K40)</f>
        <v>10</v>
      </c>
      <c r="L40" s="11">
        <f>IF('INTERACTION-PAGE'!L40="","",'INTERACTION-PAGE'!L40)</f>
        <v>9</v>
      </c>
      <c r="M40" s="11">
        <f>IF('INTERACTION-PAGE'!M40="","",'INTERACTION-PAGE'!M40)</f>
        <v>5</v>
      </c>
      <c r="N40" s="11">
        <f>IF('INTERACTION-PAGE'!N40="","",'INTERACTION-PAGE'!N40)</f>
        <v>0</v>
      </c>
      <c r="O40" s="11">
        <f>IF('INTERACTION-PAGE'!O40="","",'INTERACTION-PAGE'!O40)</f>
        <v>0</v>
      </c>
      <c r="P40" s="11">
        <f>IF('INTERACTION-PAGE'!P40="","",'INTERACTION-PAGE'!P40)</f>
        <v>0</v>
      </c>
      <c r="Q40" s="11">
        <f>IF('INTERACTION-PAGE'!Q40="","",'INTERACTION-PAGE'!Q40)</f>
        <v>0</v>
      </c>
      <c r="R40" s="11">
        <f>IF('INTERACTION-PAGE'!R40="","",'INTERACTION-PAGE'!R40)</f>
        <v>0</v>
      </c>
      <c r="S40" s="11">
        <f>IF('INTERACTION-PAGE'!S40="","",'INTERACTION-PAGE'!S40)</f>
        <v>0</v>
      </c>
      <c r="T40" s="11">
        <f>IF('INTERACTION-PAGE'!T40="","",'INTERACTION-PAGE'!T40)</f>
        <v>19</v>
      </c>
      <c r="U40" s="11">
        <f>IF('INTERACTION-PAGE'!U40="","",'INTERACTION-PAGE'!U40)</f>
        <v>0</v>
      </c>
      <c r="V40" s="11">
        <f>IF('INTERACTION-PAGE'!V40="","",'INTERACTION-PAGE'!V40)</f>
        <v>0</v>
      </c>
      <c r="W40" s="11">
        <f>IF('INTERACTION-PAGE'!W40="","",'INTERACTION-PAGE'!W40)</f>
        <v>0</v>
      </c>
      <c r="X40" s="11">
        <f>IF('INTERACTION-PAGE'!X40="","",'INTERACTION-PAGE'!X40)</f>
        <v>0</v>
      </c>
      <c r="Y40" s="27">
        <f t="shared" si="3"/>
        <v>67.2</v>
      </c>
      <c r="Z40" s="27">
        <f t="shared" si="8"/>
        <v>63.333333333333336</v>
      </c>
      <c r="AA40" s="27">
        <f t="shared" si="4"/>
        <v>100</v>
      </c>
      <c r="AB40" s="27">
        <f t="shared" si="5"/>
        <v>60</v>
      </c>
      <c r="AC40" s="27">
        <f t="shared" si="6"/>
        <v>64.444444444444443</v>
      </c>
      <c r="AD40" s="27" t="str">
        <f t="shared" si="7"/>
        <v xml:space="preserve"> </v>
      </c>
      <c r="AE40" s="28">
        <f t="shared" si="2"/>
        <v>71.944444444444443</v>
      </c>
    </row>
    <row r="41" spans="1:31" ht="15" customHeight="1">
      <c r="A41" s="2">
        <v>31</v>
      </c>
      <c r="B41" s="11" t="str">
        <f>IF('INTERACTION-PAGE'!B41="","",'INTERACTION-PAGE'!B41)</f>
        <v>FEB24064</v>
      </c>
      <c r="C41" s="11" t="str">
        <f>IF('INTERACTION-PAGE'!C41="","",'INTERACTION-PAGE'!C41)</f>
        <v>Jayanta Daimari</v>
      </c>
      <c r="D41" s="11" t="str">
        <f>IF('INTERACTION-PAGE'!D41="","",'INTERACTION-PAGE'!D41)</f>
        <v/>
      </c>
      <c r="E41" s="11">
        <f>IF('INTERACTION-PAGE'!E41="","",'INTERACTION-PAGE'!E41)</f>
        <v>0</v>
      </c>
      <c r="F41" s="11">
        <f>IF('INTERACTION-PAGE'!F41="","",'INTERACTION-PAGE'!F41)</f>
        <v>0</v>
      </c>
      <c r="G41" s="11">
        <f>IF('INTERACTION-PAGE'!G41="","",'INTERACTION-PAGE'!G41)</f>
        <v>13</v>
      </c>
      <c r="H41" s="11">
        <f>IF('INTERACTION-PAGE'!H41="","",'INTERACTION-PAGE'!H41)</f>
        <v>0</v>
      </c>
      <c r="I41" s="11">
        <f>IF('INTERACTION-PAGE'!I41="","",'INTERACTION-PAGE'!I41)</f>
        <v>0</v>
      </c>
      <c r="J41" s="11">
        <f>IF('INTERACTION-PAGE'!J41="","",'INTERACTION-PAGE'!J41)</f>
        <v>0</v>
      </c>
      <c r="K41" s="11">
        <f>IF('INTERACTION-PAGE'!K41="","",'INTERACTION-PAGE'!K41)</f>
        <v>0.5</v>
      </c>
      <c r="L41" s="11">
        <f>IF('INTERACTION-PAGE'!L41="","",'INTERACTION-PAGE'!L41)</f>
        <v>7</v>
      </c>
      <c r="M41" s="11">
        <f>IF('INTERACTION-PAGE'!M41="","",'INTERACTION-PAGE'!M41)</f>
        <v>4.5</v>
      </c>
      <c r="N41" s="11">
        <f>IF('INTERACTION-PAGE'!N41="","",'INTERACTION-PAGE'!N41)</f>
        <v>0</v>
      </c>
      <c r="O41" s="11">
        <f>IF('INTERACTION-PAGE'!O41="","",'INTERACTION-PAGE'!O41)</f>
        <v>0</v>
      </c>
      <c r="P41" s="11">
        <f>IF('INTERACTION-PAGE'!P41="","",'INTERACTION-PAGE'!P41)</f>
        <v>0</v>
      </c>
      <c r="Q41" s="11">
        <f>IF('INTERACTION-PAGE'!Q41="","",'INTERACTION-PAGE'!Q41)</f>
        <v>0</v>
      </c>
      <c r="R41" s="11">
        <f>IF('INTERACTION-PAGE'!R41="","",'INTERACTION-PAGE'!R41)</f>
        <v>0</v>
      </c>
      <c r="S41" s="11">
        <f>IF('INTERACTION-PAGE'!S41="","",'INTERACTION-PAGE'!S41)</f>
        <v>0</v>
      </c>
      <c r="T41" s="11">
        <f>IF('INTERACTION-PAGE'!T41="","",'INTERACTION-PAGE'!T41)</f>
        <v>23</v>
      </c>
      <c r="U41" s="11">
        <f>IF('INTERACTION-PAGE'!U41="","",'INTERACTION-PAGE'!U41)</f>
        <v>0</v>
      </c>
      <c r="V41" s="11">
        <f>IF('INTERACTION-PAGE'!V41="","",'INTERACTION-PAGE'!V41)</f>
        <v>0</v>
      </c>
      <c r="W41" s="11">
        <f>IF('INTERACTION-PAGE'!W41="","",'INTERACTION-PAGE'!W41)</f>
        <v>0</v>
      </c>
      <c r="X41" s="11">
        <f>IF('INTERACTION-PAGE'!X41="","",'INTERACTION-PAGE'!X41)</f>
        <v>0</v>
      </c>
      <c r="Y41" s="27">
        <f t="shared" si="3"/>
        <v>38.4</v>
      </c>
      <c r="Z41" s="27">
        <f t="shared" si="8"/>
        <v>76.666666666666671</v>
      </c>
      <c r="AA41" s="27">
        <f t="shared" si="4"/>
        <v>3.3333333333333335</v>
      </c>
      <c r="AB41" s="27">
        <f t="shared" si="5"/>
        <v>57.142857142857146</v>
      </c>
      <c r="AC41" s="27">
        <f t="shared" si="6"/>
        <v>10</v>
      </c>
      <c r="AD41" s="27" t="str">
        <f t="shared" si="7"/>
        <v xml:space="preserve"> </v>
      </c>
      <c r="AE41" s="28">
        <f t="shared" si="2"/>
        <v>36.785714285714285</v>
      </c>
    </row>
    <row r="42" spans="1:31" ht="15" customHeight="1">
      <c r="A42" s="3">
        <v>32</v>
      </c>
      <c r="B42" s="11" t="str">
        <f>IF('INTERACTION-PAGE'!B42="","",'INTERACTION-PAGE'!B42)</f>
        <v>FEB24065</v>
      </c>
      <c r="C42" s="11" t="str">
        <f>IF('INTERACTION-PAGE'!C42="","",'INTERACTION-PAGE'!C42)</f>
        <v>Joyshree Phukan</v>
      </c>
      <c r="D42" s="11" t="str">
        <f>IF('INTERACTION-PAGE'!D42="","",'INTERACTION-PAGE'!D42)</f>
        <v/>
      </c>
      <c r="E42" s="11">
        <f>IF('INTERACTION-PAGE'!E42="","",'INTERACTION-PAGE'!E42)</f>
        <v>0</v>
      </c>
      <c r="F42" s="11">
        <f>IF('INTERACTION-PAGE'!F42="","",'INTERACTION-PAGE'!F42)</f>
        <v>0</v>
      </c>
      <c r="G42" s="11">
        <f>IF('INTERACTION-PAGE'!G42="","",'INTERACTION-PAGE'!G42)</f>
        <v>12</v>
      </c>
      <c r="H42" s="11">
        <f>IF('INTERACTION-PAGE'!H42="","",'INTERACTION-PAGE'!H42)</f>
        <v>8</v>
      </c>
      <c r="I42" s="11">
        <f>IF('INTERACTION-PAGE'!I42="","",'INTERACTION-PAGE'!I42)</f>
        <v>0</v>
      </c>
      <c r="J42" s="11">
        <f>IF('INTERACTION-PAGE'!J42="","",'INTERACTION-PAGE'!J42)</f>
        <v>0</v>
      </c>
      <c r="K42" s="11">
        <f>IF('INTERACTION-PAGE'!K42="","",'INTERACTION-PAGE'!K42)</f>
        <v>5.5</v>
      </c>
      <c r="L42" s="11">
        <f>IF('INTERACTION-PAGE'!L42="","",'INTERACTION-PAGE'!L42)</f>
        <v>8</v>
      </c>
      <c r="M42" s="11">
        <f>IF('INTERACTION-PAGE'!M42="","",'INTERACTION-PAGE'!M42)</f>
        <v>2.5</v>
      </c>
      <c r="N42" s="11">
        <f>IF('INTERACTION-PAGE'!N42="","",'INTERACTION-PAGE'!N42)</f>
        <v>0</v>
      </c>
      <c r="O42" s="11">
        <f>IF('INTERACTION-PAGE'!O42="","",'INTERACTION-PAGE'!O42)</f>
        <v>0</v>
      </c>
      <c r="P42" s="11">
        <f>IF('INTERACTION-PAGE'!P42="","",'INTERACTION-PAGE'!P42)</f>
        <v>0</v>
      </c>
      <c r="Q42" s="11">
        <f>IF('INTERACTION-PAGE'!Q42="","",'INTERACTION-PAGE'!Q42)</f>
        <v>0</v>
      </c>
      <c r="R42" s="11">
        <f>IF('INTERACTION-PAGE'!R42="","",'INTERACTION-PAGE'!R42)</f>
        <v>0</v>
      </c>
      <c r="S42" s="11">
        <f>IF('INTERACTION-PAGE'!S42="","",'INTERACTION-PAGE'!S42)</f>
        <v>0</v>
      </c>
      <c r="T42" s="11">
        <f>IF('INTERACTION-PAGE'!T42="","",'INTERACTION-PAGE'!T42)</f>
        <v>20</v>
      </c>
      <c r="U42" s="11">
        <f>IF('INTERACTION-PAGE'!U42="","",'INTERACTION-PAGE'!U42)</f>
        <v>0</v>
      </c>
      <c r="V42" s="11">
        <f>IF('INTERACTION-PAGE'!V42="","",'INTERACTION-PAGE'!V42)</f>
        <v>0</v>
      </c>
      <c r="W42" s="11">
        <f>IF('INTERACTION-PAGE'!W42="","",'INTERACTION-PAGE'!W42)</f>
        <v>0</v>
      </c>
      <c r="X42" s="11">
        <f>IF('INTERACTION-PAGE'!X42="","",'INTERACTION-PAGE'!X42)</f>
        <v>0</v>
      </c>
      <c r="Y42" s="27">
        <f t="shared" si="3"/>
        <v>44.8</v>
      </c>
      <c r="Z42" s="27">
        <f t="shared" si="8"/>
        <v>66.666666666666671</v>
      </c>
      <c r="AA42" s="27">
        <f t="shared" si="4"/>
        <v>36.666666666666664</v>
      </c>
      <c r="AB42" s="27">
        <f t="shared" si="5"/>
        <v>57.142857142857146</v>
      </c>
      <c r="AC42" s="27">
        <f t="shared" si="6"/>
        <v>23.333333333333332</v>
      </c>
      <c r="AD42" s="27" t="str">
        <f t="shared" si="7"/>
        <v xml:space="preserve"> </v>
      </c>
      <c r="AE42" s="28">
        <f t="shared" si="2"/>
        <v>45.952380952380956</v>
      </c>
    </row>
    <row r="43" spans="1:31" ht="15" customHeight="1">
      <c r="A43" s="2">
        <v>33</v>
      </c>
      <c r="B43" s="11" t="str">
        <f>IF('INTERACTION-PAGE'!B43="","",'INTERACTION-PAGE'!B43)</f>
        <v>FEB24067</v>
      </c>
      <c r="C43" s="11" t="str">
        <f>IF('INTERACTION-PAGE'!C43="","",'INTERACTION-PAGE'!C43)</f>
        <v>Ashutosh Kumar Gautam</v>
      </c>
      <c r="D43" s="11" t="str">
        <f>IF('INTERACTION-PAGE'!D43="","",'INTERACTION-PAGE'!D43)</f>
        <v/>
      </c>
      <c r="E43" s="11">
        <f>IF('INTERACTION-PAGE'!E43="","",'INTERACTION-PAGE'!E43)</f>
        <v>0</v>
      </c>
      <c r="F43" s="11">
        <f>IF('INTERACTION-PAGE'!F43="","",'INTERACTION-PAGE'!F43)</f>
        <v>1</v>
      </c>
      <c r="G43" s="11">
        <f>IF('INTERACTION-PAGE'!G43="","",'INTERACTION-PAGE'!G43)</f>
        <v>10</v>
      </c>
      <c r="H43" s="11">
        <f>IF('INTERACTION-PAGE'!H43="","",'INTERACTION-PAGE'!H43)</f>
        <v>12</v>
      </c>
      <c r="I43" s="11">
        <f>IF('INTERACTION-PAGE'!I43="","",'INTERACTION-PAGE'!I43)</f>
        <v>0</v>
      </c>
      <c r="J43" s="11">
        <f>IF('INTERACTION-PAGE'!J43="","",'INTERACTION-PAGE'!J43)</f>
        <v>2</v>
      </c>
      <c r="K43" s="11">
        <f>IF('INTERACTION-PAGE'!K43="","",'INTERACTION-PAGE'!K43)</f>
        <v>3.5</v>
      </c>
      <c r="L43" s="11">
        <f>IF('INTERACTION-PAGE'!L43="","",'INTERACTION-PAGE'!L43)</f>
        <v>7</v>
      </c>
      <c r="M43" s="11">
        <f>IF('INTERACTION-PAGE'!M43="","",'INTERACTION-PAGE'!M43)</f>
        <v>3.5</v>
      </c>
      <c r="N43" s="11">
        <f>IF('INTERACTION-PAGE'!N43="","",'INTERACTION-PAGE'!N43)</f>
        <v>0</v>
      </c>
      <c r="O43" s="11">
        <f>IF('INTERACTION-PAGE'!O43="","",'INTERACTION-PAGE'!O43)</f>
        <v>0</v>
      </c>
      <c r="P43" s="11">
        <f>IF('INTERACTION-PAGE'!P43="","",'INTERACTION-PAGE'!P43)</f>
        <v>0</v>
      </c>
      <c r="Q43" s="11">
        <f>IF('INTERACTION-PAGE'!Q43="","",'INTERACTION-PAGE'!Q43)</f>
        <v>0</v>
      </c>
      <c r="R43" s="11">
        <f>IF('INTERACTION-PAGE'!R43="","",'INTERACTION-PAGE'!R43)</f>
        <v>0</v>
      </c>
      <c r="S43" s="11">
        <f>IF('INTERACTION-PAGE'!S43="","",'INTERACTION-PAGE'!S43)</f>
        <v>0</v>
      </c>
      <c r="T43" s="11">
        <f>IF('INTERACTION-PAGE'!T43="","",'INTERACTION-PAGE'!T43)</f>
        <v>21</v>
      </c>
      <c r="U43" s="11">
        <f>IF('INTERACTION-PAGE'!U43="","",'INTERACTION-PAGE'!U43)</f>
        <v>0</v>
      </c>
      <c r="V43" s="11">
        <f>IF('INTERACTION-PAGE'!V43="","",'INTERACTION-PAGE'!V43)</f>
        <v>0</v>
      </c>
      <c r="W43" s="11">
        <f>IF('INTERACTION-PAGE'!W43="","",'INTERACTION-PAGE'!W43)</f>
        <v>0</v>
      </c>
      <c r="X43" s="11">
        <f>IF('INTERACTION-PAGE'!X43="","",'INTERACTION-PAGE'!X43)</f>
        <v>0</v>
      </c>
      <c r="Y43" s="27">
        <f t="shared" si="3"/>
        <v>48</v>
      </c>
      <c r="Z43" s="27">
        <f t="shared" si="8"/>
        <v>76.666666666666671</v>
      </c>
      <c r="AA43" s="27">
        <f t="shared" si="4"/>
        <v>30</v>
      </c>
      <c r="AB43" s="27">
        <f t="shared" si="5"/>
        <v>48.571428571428569</v>
      </c>
      <c r="AC43" s="27">
        <f t="shared" si="6"/>
        <v>34.444444444444443</v>
      </c>
      <c r="AD43" s="27" t="str">
        <f t="shared" si="7"/>
        <v xml:space="preserve"> </v>
      </c>
      <c r="AE43" s="28">
        <f t="shared" ref="AE43:AE74" si="9">IF(C43="","",IFERROR(AVERAGE(Z43:AD43),""))</f>
        <v>47.420634920634924</v>
      </c>
    </row>
    <row r="44" spans="1:31" ht="15" customHeight="1">
      <c r="A44" s="3">
        <v>34</v>
      </c>
      <c r="B44" s="11" t="str">
        <f>IF('INTERACTION-PAGE'!B44="","",'INTERACTION-PAGE'!B44)</f>
        <v>FEB24068</v>
      </c>
      <c r="C44" s="11" t="str">
        <f>IF('INTERACTION-PAGE'!C44="","",'INTERACTION-PAGE'!C44)</f>
        <v>Shivani Chandra</v>
      </c>
      <c r="D44" s="11" t="str">
        <f>IF('INTERACTION-PAGE'!D44="","",'INTERACTION-PAGE'!D44)</f>
        <v/>
      </c>
      <c r="E44" s="11">
        <f>IF('INTERACTION-PAGE'!E44="","",'INTERACTION-PAGE'!E44)</f>
        <v>0</v>
      </c>
      <c r="F44" s="11">
        <f>IF('INTERACTION-PAGE'!F44="","",'INTERACTION-PAGE'!F44)</f>
        <v>0</v>
      </c>
      <c r="G44" s="11">
        <f>IF('INTERACTION-PAGE'!G44="","",'INTERACTION-PAGE'!G44)</f>
        <v>10</v>
      </c>
      <c r="H44" s="11">
        <f>IF('INTERACTION-PAGE'!H44="","",'INTERACTION-PAGE'!H44)</f>
        <v>8</v>
      </c>
      <c r="I44" s="11">
        <f>IF('INTERACTION-PAGE'!I44="","",'INTERACTION-PAGE'!I44)</f>
        <v>0</v>
      </c>
      <c r="J44" s="11">
        <f>IF('INTERACTION-PAGE'!J44="","",'INTERACTION-PAGE'!J44)</f>
        <v>3.5</v>
      </c>
      <c r="K44" s="11">
        <f>IF('INTERACTION-PAGE'!K44="","",'INTERACTION-PAGE'!K44)</f>
        <v>10</v>
      </c>
      <c r="L44" s="11">
        <f>IF('INTERACTION-PAGE'!L44="","",'INTERACTION-PAGE'!L44)</f>
        <v>5</v>
      </c>
      <c r="M44" s="11">
        <f>IF('INTERACTION-PAGE'!M44="","",'INTERACTION-PAGE'!M44)</f>
        <v>4.5</v>
      </c>
      <c r="N44" s="11">
        <f>IF('INTERACTION-PAGE'!N44="","",'INTERACTION-PAGE'!N44)</f>
        <v>0</v>
      </c>
      <c r="O44" s="11">
        <f>IF('INTERACTION-PAGE'!O44="","",'INTERACTION-PAGE'!O44)</f>
        <v>0</v>
      </c>
      <c r="P44" s="11">
        <f>IF('INTERACTION-PAGE'!P44="","",'INTERACTION-PAGE'!P44)</f>
        <v>0</v>
      </c>
      <c r="Q44" s="11">
        <f>IF('INTERACTION-PAGE'!Q44="","",'INTERACTION-PAGE'!Q44)</f>
        <v>0</v>
      </c>
      <c r="R44" s="11">
        <f>IF('INTERACTION-PAGE'!R44="","",'INTERACTION-PAGE'!R44)</f>
        <v>0</v>
      </c>
      <c r="S44" s="11">
        <f>IF('INTERACTION-PAGE'!S44="","",'INTERACTION-PAGE'!S44)</f>
        <v>0</v>
      </c>
      <c r="T44" s="11">
        <f>IF('INTERACTION-PAGE'!T44="","",'INTERACTION-PAGE'!T44)</f>
        <v>22</v>
      </c>
      <c r="U44" s="11">
        <f>IF('INTERACTION-PAGE'!U44="","",'INTERACTION-PAGE'!U44)</f>
        <v>0</v>
      </c>
      <c r="V44" s="11">
        <f>IF('INTERACTION-PAGE'!V44="","",'INTERACTION-PAGE'!V44)</f>
        <v>0</v>
      </c>
      <c r="W44" s="11">
        <f>IF('INTERACTION-PAGE'!W44="","",'INTERACTION-PAGE'!W44)</f>
        <v>0</v>
      </c>
      <c r="X44" s="11">
        <f>IF('INTERACTION-PAGE'!X44="","",'INTERACTION-PAGE'!X44)</f>
        <v>0</v>
      </c>
      <c r="Y44" s="27">
        <f t="shared" si="3"/>
        <v>50.4</v>
      </c>
      <c r="Z44" s="27">
        <f t="shared" si="8"/>
        <v>85</v>
      </c>
      <c r="AA44" s="27">
        <f t="shared" si="4"/>
        <v>66.666666666666671</v>
      </c>
      <c r="AB44" s="27">
        <f t="shared" si="5"/>
        <v>42.857142857142854</v>
      </c>
      <c r="AC44" s="27">
        <f t="shared" si="6"/>
        <v>27.777777777777779</v>
      </c>
      <c r="AD44" s="27" t="str">
        <f t="shared" si="7"/>
        <v xml:space="preserve"> </v>
      </c>
      <c r="AE44" s="28">
        <f t="shared" si="9"/>
        <v>55.57539682539683</v>
      </c>
    </row>
    <row r="45" spans="1:31" ht="15" customHeight="1">
      <c r="A45" s="2">
        <v>35</v>
      </c>
      <c r="B45" s="11" t="str">
        <f>IF('INTERACTION-PAGE'!B45="","",'INTERACTION-PAGE'!B45)</f>
        <v>FEB24069</v>
      </c>
      <c r="C45" s="11" t="str">
        <f>IF('INTERACTION-PAGE'!C45="","",'INTERACTION-PAGE'!C45)</f>
        <v>Jadi Varshith</v>
      </c>
      <c r="D45" s="11" t="str">
        <f>IF('INTERACTION-PAGE'!D45="","",'INTERACTION-PAGE'!D45)</f>
        <v/>
      </c>
      <c r="E45" s="11">
        <f>IF('INTERACTION-PAGE'!E45="","",'INTERACTION-PAGE'!E45)</f>
        <v>0</v>
      </c>
      <c r="F45" s="11">
        <f>IF('INTERACTION-PAGE'!F45="","",'INTERACTION-PAGE'!F45)</f>
        <v>0</v>
      </c>
      <c r="G45" s="11">
        <f>IF('INTERACTION-PAGE'!G45="","",'INTERACTION-PAGE'!G45)</f>
        <v>10</v>
      </c>
      <c r="H45" s="11">
        <f>IF('INTERACTION-PAGE'!H45="","",'INTERACTION-PAGE'!H45)</f>
        <v>11</v>
      </c>
      <c r="I45" s="11">
        <f>IF('INTERACTION-PAGE'!I45="","",'INTERACTION-PAGE'!I45)</f>
        <v>0</v>
      </c>
      <c r="J45" s="11">
        <f>IF('INTERACTION-PAGE'!J45="","",'INTERACTION-PAGE'!J45)</f>
        <v>1</v>
      </c>
      <c r="K45" s="11">
        <f>IF('INTERACTION-PAGE'!K45="","",'INTERACTION-PAGE'!K45)</f>
        <v>6.5</v>
      </c>
      <c r="L45" s="11">
        <f>IF('INTERACTION-PAGE'!L45="","",'INTERACTION-PAGE'!L45)</f>
        <v>5</v>
      </c>
      <c r="M45" s="11">
        <f>IF('INTERACTION-PAGE'!M45="","",'INTERACTION-PAGE'!M45)</f>
        <v>2</v>
      </c>
      <c r="N45" s="11">
        <f>IF('INTERACTION-PAGE'!N45="","",'INTERACTION-PAGE'!N45)</f>
        <v>0</v>
      </c>
      <c r="O45" s="11">
        <f>IF('INTERACTION-PAGE'!O45="","",'INTERACTION-PAGE'!O45)</f>
        <v>0</v>
      </c>
      <c r="P45" s="11">
        <f>IF('INTERACTION-PAGE'!P45="","",'INTERACTION-PAGE'!P45)</f>
        <v>0</v>
      </c>
      <c r="Q45" s="11">
        <f>IF('INTERACTION-PAGE'!Q45="","",'INTERACTION-PAGE'!Q45)</f>
        <v>0</v>
      </c>
      <c r="R45" s="11">
        <f>IF('INTERACTION-PAGE'!R45="","",'INTERACTION-PAGE'!R45)</f>
        <v>0</v>
      </c>
      <c r="S45" s="11">
        <f>IF('INTERACTION-PAGE'!S45="","",'INTERACTION-PAGE'!S45)</f>
        <v>0</v>
      </c>
      <c r="T45" s="11">
        <f>IF('INTERACTION-PAGE'!T45="","",'INTERACTION-PAGE'!T45)</f>
        <v>18</v>
      </c>
      <c r="U45" s="11">
        <f>IF('INTERACTION-PAGE'!U45="","",'INTERACTION-PAGE'!U45)</f>
        <v>0</v>
      </c>
      <c r="V45" s="11">
        <f>IF('INTERACTION-PAGE'!V45="","",'INTERACTION-PAGE'!V45)</f>
        <v>0</v>
      </c>
      <c r="W45" s="11">
        <f>IF('INTERACTION-PAGE'!W45="","",'INTERACTION-PAGE'!W45)</f>
        <v>0</v>
      </c>
      <c r="X45" s="11">
        <f>IF('INTERACTION-PAGE'!X45="","",'INTERACTION-PAGE'!X45)</f>
        <v>0</v>
      </c>
      <c r="Y45" s="27">
        <f t="shared" si="3"/>
        <v>42.8</v>
      </c>
      <c r="Z45" s="27">
        <f t="shared" si="8"/>
        <v>63.333333333333336</v>
      </c>
      <c r="AA45" s="27">
        <f t="shared" si="4"/>
        <v>43.333333333333336</v>
      </c>
      <c r="AB45" s="27">
        <f t="shared" si="5"/>
        <v>42.857142857142854</v>
      </c>
      <c r="AC45" s="27">
        <f t="shared" si="6"/>
        <v>28.888888888888889</v>
      </c>
      <c r="AD45" s="27" t="str">
        <f t="shared" si="7"/>
        <v xml:space="preserve"> </v>
      </c>
      <c r="AE45" s="28">
        <f t="shared" si="9"/>
        <v>44.603174603174601</v>
      </c>
    </row>
    <row r="46" spans="1:31" ht="15" customHeight="1">
      <c r="A46" s="3">
        <v>36</v>
      </c>
      <c r="B46" s="11" t="str">
        <f>IF('INTERACTION-PAGE'!B46="","",'INTERACTION-PAGE'!B46)</f>
        <v>FEB24070</v>
      </c>
      <c r="C46" s="11" t="str">
        <f>IF('INTERACTION-PAGE'!C46="","",'INTERACTION-PAGE'!C46)</f>
        <v>Raj Biswas</v>
      </c>
      <c r="D46" s="11" t="str">
        <f>IF('INTERACTION-PAGE'!D46="","",'INTERACTION-PAGE'!D46)</f>
        <v/>
      </c>
      <c r="E46" s="11">
        <f>IF('INTERACTION-PAGE'!E46="","",'INTERACTION-PAGE'!E46)</f>
        <v>0</v>
      </c>
      <c r="F46" s="11">
        <f>IF('INTERACTION-PAGE'!F46="","",'INTERACTION-PAGE'!F46)</f>
        <v>0</v>
      </c>
      <c r="G46" s="11">
        <f>IF('INTERACTION-PAGE'!G46="","",'INTERACTION-PAGE'!G46)</f>
        <v>9</v>
      </c>
      <c r="H46" s="11">
        <f>IF('INTERACTION-PAGE'!H46="","",'INTERACTION-PAGE'!H46)</f>
        <v>6.5</v>
      </c>
      <c r="I46" s="11">
        <f>IF('INTERACTION-PAGE'!I46="","",'INTERACTION-PAGE'!I46)</f>
        <v>0</v>
      </c>
      <c r="J46" s="11">
        <f>IF('INTERACTION-PAGE'!J46="","",'INTERACTION-PAGE'!J46)</f>
        <v>1.5</v>
      </c>
      <c r="K46" s="11">
        <f>IF('INTERACTION-PAGE'!K46="","",'INTERACTION-PAGE'!K46)</f>
        <v>4</v>
      </c>
      <c r="L46" s="11">
        <f>IF('INTERACTION-PAGE'!L46="","",'INTERACTION-PAGE'!L46)</f>
        <v>3</v>
      </c>
      <c r="M46" s="11">
        <f>IF('INTERACTION-PAGE'!M46="","",'INTERACTION-PAGE'!M46)</f>
        <v>1</v>
      </c>
      <c r="N46" s="11">
        <f>IF('INTERACTION-PAGE'!N46="","",'INTERACTION-PAGE'!N46)</f>
        <v>0</v>
      </c>
      <c r="O46" s="11">
        <f>IF('INTERACTION-PAGE'!O46="","",'INTERACTION-PAGE'!O46)</f>
        <v>0</v>
      </c>
      <c r="P46" s="11">
        <f>IF('INTERACTION-PAGE'!P46="","",'INTERACTION-PAGE'!P46)</f>
        <v>0</v>
      </c>
      <c r="Q46" s="11">
        <f>IF('INTERACTION-PAGE'!Q46="","",'INTERACTION-PAGE'!Q46)</f>
        <v>0</v>
      </c>
      <c r="R46" s="11">
        <f>IF('INTERACTION-PAGE'!R46="","",'INTERACTION-PAGE'!R46)</f>
        <v>0</v>
      </c>
      <c r="S46" s="11">
        <f>IF('INTERACTION-PAGE'!S46="","",'INTERACTION-PAGE'!S46)</f>
        <v>0</v>
      </c>
      <c r="T46" s="11">
        <f>IF('INTERACTION-PAGE'!T46="","",'INTERACTION-PAGE'!T46)</f>
        <v>17</v>
      </c>
      <c r="U46" s="11">
        <f>IF('INTERACTION-PAGE'!U46="","",'INTERACTION-PAGE'!U46)</f>
        <v>0</v>
      </c>
      <c r="V46" s="11">
        <f>IF('INTERACTION-PAGE'!V46="","",'INTERACTION-PAGE'!V46)</f>
        <v>0</v>
      </c>
      <c r="W46" s="11">
        <f>IF('INTERACTION-PAGE'!W46="","",'INTERACTION-PAGE'!W46)</f>
        <v>0</v>
      </c>
      <c r="X46" s="11">
        <f>IF('INTERACTION-PAGE'!X46="","",'INTERACTION-PAGE'!X46)</f>
        <v>0</v>
      </c>
      <c r="Y46" s="27">
        <f t="shared" si="3"/>
        <v>33.6</v>
      </c>
      <c r="Z46" s="27">
        <f t="shared" si="8"/>
        <v>61.666666666666664</v>
      </c>
      <c r="AA46" s="27">
        <f t="shared" si="4"/>
        <v>26.666666666666668</v>
      </c>
      <c r="AB46" s="27">
        <f t="shared" si="5"/>
        <v>34.285714285714285</v>
      </c>
      <c r="AC46" s="27">
        <f t="shared" si="6"/>
        <v>16.666666666666668</v>
      </c>
      <c r="AD46" s="27" t="str">
        <f t="shared" si="7"/>
        <v xml:space="preserve"> </v>
      </c>
      <c r="AE46" s="28">
        <f t="shared" si="9"/>
        <v>34.821428571428569</v>
      </c>
    </row>
    <row r="47" spans="1:31" ht="15" customHeight="1">
      <c r="A47" s="2">
        <v>37</v>
      </c>
      <c r="B47" s="11" t="str">
        <f>IF('INTERACTION-PAGE'!B47="","",'INTERACTION-PAGE'!B47)</f>
        <v>FEB24071</v>
      </c>
      <c r="C47" s="11" t="str">
        <f>IF('INTERACTION-PAGE'!C47="","",'INTERACTION-PAGE'!C47)</f>
        <v>BHARGAV DAS</v>
      </c>
      <c r="D47" s="11" t="str">
        <f>IF('INTERACTION-PAGE'!D47="","",'INTERACTION-PAGE'!D47)</f>
        <v/>
      </c>
      <c r="E47" s="11">
        <f>IF('INTERACTION-PAGE'!E47="","",'INTERACTION-PAGE'!E47)</f>
        <v>0</v>
      </c>
      <c r="F47" s="11">
        <f>IF('INTERACTION-PAGE'!F47="","",'INTERACTION-PAGE'!F47)</f>
        <v>2</v>
      </c>
      <c r="G47" s="11">
        <f>IF('INTERACTION-PAGE'!G47="","",'INTERACTION-PAGE'!G47)</f>
        <v>10</v>
      </c>
      <c r="H47" s="11">
        <f>IF('INTERACTION-PAGE'!H47="","",'INTERACTION-PAGE'!H47)</f>
        <v>7</v>
      </c>
      <c r="I47" s="11">
        <f>IF('INTERACTION-PAGE'!I47="","",'INTERACTION-PAGE'!I47)</f>
        <v>0</v>
      </c>
      <c r="J47" s="11">
        <f>IF('INTERACTION-PAGE'!J47="","",'INTERACTION-PAGE'!J47)</f>
        <v>0.5</v>
      </c>
      <c r="K47" s="11">
        <f>IF('INTERACTION-PAGE'!K47="","",'INTERACTION-PAGE'!K47)</f>
        <v>3</v>
      </c>
      <c r="L47" s="11">
        <f>IF('INTERACTION-PAGE'!L47="","",'INTERACTION-PAGE'!L47)</f>
        <v>5</v>
      </c>
      <c r="M47" s="11">
        <f>IF('INTERACTION-PAGE'!M47="","",'INTERACTION-PAGE'!M47)</f>
        <v>3.5</v>
      </c>
      <c r="N47" s="11">
        <f>IF('INTERACTION-PAGE'!N47="","",'INTERACTION-PAGE'!N47)</f>
        <v>0</v>
      </c>
      <c r="O47" s="11">
        <f>IF('INTERACTION-PAGE'!O47="","",'INTERACTION-PAGE'!O47)</f>
        <v>0</v>
      </c>
      <c r="P47" s="11">
        <f>IF('INTERACTION-PAGE'!P47="","",'INTERACTION-PAGE'!P47)</f>
        <v>0</v>
      </c>
      <c r="Q47" s="11">
        <f>IF('INTERACTION-PAGE'!Q47="","",'INTERACTION-PAGE'!Q47)</f>
        <v>0</v>
      </c>
      <c r="R47" s="11">
        <f>IF('INTERACTION-PAGE'!R47="","",'INTERACTION-PAGE'!R47)</f>
        <v>0</v>
      </c>
      <c r="S47" s="11">
        <f>IF('INTERACTION-PAGE'!S47="","",'INTERACTION-PAGE'!S47)</f>
        <v>0</v>
      </c>
      <c r="T47" s="11">
        <f>IF('INTERACTION-PAGE'!T47="","",'INTERACTION-PAGE'!T47)</f>
        <v>20</v>
      </c>
      <c r="U47" s="11">
        <f>IF('INTERACTION-PAGE'!U47="","",'INTERACTION-PAGE'!U47)</f>
        <v>0</v>
      </c>
      <c r="V47" s="11">
        <f>IF('INTERACTION-PAGE'!V47="","",'INTERACTION-PAGE'!V47)</f>
        <v>0</v>
      </c>
      <c r="W47" s="11">
        <f>IF('INTERACTION-PAGE'!W47="","",'INTERACTION-PAGE'!W47)</f>
        <v>0</v>
      </c>
      <c r="X47" s="11">
        <f>IF('INTERACTION-PAGE'!X47="","",'INTERACTION-PAGE'!X47)</f>
        <v>0</v>
      </c>
      <c r="Y47" s="27">
        <f t="shared" si="3"/>
        <v>40.799999999999997</v>
      </c>
      <c r="Z47" s="27">
        <f t="shared" si="8"/>
        <v>68.333333333333329</v>
      </c>
      <c r="AA47" s="27">
        <f t="shared" si="4"/>
        <v>33.333333333333336</v>
      </c>
      <c r="AB47" s="27">
        <f t="shared" si="5"/>
        <v>42.857142857142854</v>
      </c>
      <c r="AC47" s="27">
        <f t="shared" si="6"/>
        <v>23.333333333333332</v>
      </c>
      <c r="AD47" s="27" t="str">
        <f t="shared" si="7"/>
        <v xml:space="preserve"> </v>
      </c>
      <c r="AE47" s="28">
        <f t="shared" si="9"/>
        <v>41.964285714285715</v>
      </c>
    </row>
    <row r="48" spans="1:31" ht="15" customHeight="1">
      <c r="A48" s="3">
        <v>38</v>
      </c>
      <c r="B48" s="11" t="str">
        <f>IF('INTERACTION-PAGE'!B48="","",'INTERACTION-PAGE'!B48)</f>
        <v>FEB24072</v>
      </c>
      <c r="C48" s="11" t="str">
        <f>IF('INTERACTION-PAGE'!C48="","",'INTERACTION-PAGE'!C48)</f>
        <v>MUFASSIR AL HASAN</v>
      </c>
      <c r="D48" s="11" t="str">
        <f>IF('INTERACTION-PAGE'!D48="","",'INTERACTION-PAGE'!D48)</f>
        <v/>
      </c>
      <c r="E48" s="11">
        <f>IF('INTERACTION-PAGE'!E48="","",'INTERACTION-PAGE'!E48)</f>
        <v>0</v>
      </c>
      <c r="F48" s="11">
        <f>IF('INTERACTION-PAGE'!F48="","",'INTERACTION-PAGE'!F48)</f>
        <v>0</v>
      </c>
      <c r="G48" s="11">
        <f>IF('INTERACTION-PAGE'!G48="","",'INTERACTION-PAGE'!G48)</f>
        <v>6</v>
      </c>
      <c r="H48" s="11">
        <f>IF('INTERACTION-PAGE'!H48="","",'INTERACTION-PAGE'!H48)</f>
        <v>3</v>
      </c>
      <c r="I48" s="11">
        <f>IF('INTERACTION-PAGE'!I48="","",'INTERACTION-PAGE'!I48)</f>
        <v>0</v>
      </c>
      <c r="J48" s="11">
        <f>IF('INTERACTION-PAGE'!J48="","",'INTERACTION-PAGE'!J48)</f>
        <v>1.5</v>
      </c>
      <c r="K48" s="11">
        <f>IF('INTERACTION-PAGE'!K48="","",'INTERACTION-PAGE'!K48)</f>
        <v>4.5</v>
      </c>
      <c r="L48" s="11">
        <f>IF('INTERACTION-PAGE'!L48="","",'INTERACTION-PAGE'!L48)</f>
        <v>7</v>
      </c>
      <c r="M48" s="11">
        <f>IF('INTERACTION-PAGE'!M48="","",'INTERACTION-PAGE'!M48)</f>
        <v>1</v>
      </c>
      <c r="N48" s="11">
        <f>IF('INTERACTION-PAGE'!N48="","",'INTERACTION-PAGE'!N48)</f>
        <v>0</v>
      </c>
      <c r="O48" s="11">
        <f>IF('INTERACTION-PAGE'!O48="","",'INTERACTION-PAGE'!O48)</f>
        <v>0</v>
      </c>
      <c r="P48" s="11">
        <f>IF('INTERACTION-PAGE'!P48="","",'INTERACTION-PAGE'!P48)</f>
        <v>0</v>
      </c>
      <c r="Q48" s="11">
        <f>IF('INTERACTION-PAGE'!Q48="","",'INTERACTION-PAGE'!Q48)</f>
        <v>0</v>
      </c>
      <c r="R48" s="11">
        <f>IF('INTERACTION-PAGE'!R48="","",'INTERACTION-PAGE'!R48)</f>
        <v>0</v>
      </c>
      <c r="S48" s="11">
        <f>IF('INTERACTION-PAGE'!S48="","",'INTERACTION-PAGE'!S48)</f>
        <v>0</v>
      </c>
      <c r="T48" s="11">
        <f>IF('INTERACTION-PAGE'!T48="","",'INTERACTION-PAGE'!T48)</f>
        <v>20</v>
      </c>
      <c r="U48" s="11">
        <f>IF('INTERACTION-PAGE'!U48="","",'INTERACTION-PAGE'!U48)</f>
        <v>0</v>
      </c>
      <c r="V48" s="11">
        <f>IF('INTERACTION-PAGE'!V48="","",'INTERACTION-PAGE'!V48)</f>
        <v>0</v>
      </c>
      <c r="W48" s="11">
        <f>IF('INTERACTION-PAGE'!W48="","",'INTERACTION-PAGE'!W48)</f>
        <v>0</v>
      </c>
      <c r="X48" s="11">
        <f>IF('INTERACTION-PAGE'!X48="","",'INTERACTION-PAGE'!X48)</f>
        <v>0</v>
      </c>
      <c r="Y48" s="27">
        <f t="shared" si="3"/>
        <v>34.4</v>
      </c>
      <c r="Z48" s="27">
        <f t="shared" si="8"/>
        <v>71.666666666666671</v>
      </c>
      <c r="AA48" s="27">
        <f t="shared" si="4"/>
        <v>30</v>
      </c>
      <c r="AB48" s="27">
        <f t="shared" si="5"/>
        <v>37.142857142857146</v>
      </c>
      <c r="AC48" s="27">
        <f t="shared" si="6"/>
        <v>8.8888888888888893</v>
      </c>
      <c r="AD48" s="27" t="str">
        <f t="shared" si="7"/>
        <v xml:space="preserve"> </v>
      </c>
      <c r="AE48" s="28">
        <f t="shared" si="9"/>
        <v>36.924603174603178</v>
      </c>
    </row>
    <row r="49" spans="1:31" ht="15" customHeight="1">
      <c r="A49" s="2">
        <v>39</v>
      </c>
      <c r="B49" s="11" t="str">
        <f>IF('INTERACTION-PAGE'!B49="","",'INTERACTION-PAGE'!B49)</f>
        <v>FEB24073</v>
      </c>
      <c r="C49" s="11" t="str">
        <f>IF('INTERACTION-PAGE'!C49="","",'INTERACTION-PAGE'!C49)</f>
        <v>SANSWRANG BASUMATARY</v>
      </c>
      <c r="D49" s="11" t="str">
        <f>IF('INTERACTION-PAGE'!D49="","",'INTERACTION-PAGE'!D49)</f>
        <v/>
      </c>
      <c r="E49" s="11">
        <f>IF('INTERACTION-PAGE'!E49="","",'INTERACTION-PAGE'!E49)</f>
        <v>0</v>
      </c>
      <c r="F49" s="11">
        <f>IF('INTERACTION-PAGE'!F49="","",'INTERACTION-PAGE'!F49)</f>
        <v>0</v>
      </c>
      <c r="G49" s="11">
        <f>IF('INTERACTION-PAGE'!G49="","",'INTERACTION-PAGE'!G49)</f>
        <v>7</v>
      </c>
      <c r="H49" s="11">
        <f>IF('INTERACTION-PAGE'!H49="","",'INTERACTION-PAGE'!H49)</f>
        <v>8</v>
      </c>
      <c r="I49" s="11">
        <f>IF('INTERACTION-PAGE'!I49="","",'INTERACTION-PAGE'!I49)</f>
        <v>0</v>
      </c>
      <c r="J49" s="11">
        <f>IF('INTERACTION-PAGE'!J49="","",'INTERACTION-PAGE'!J49)</f>
        <v>1</v>
      </c>
      <c r="K49" s="11">
        <f>IF('INTERACTION-PAGE'!K49="","",'INTERACTION-PAGE'!K49)</f>
        <v>6.5</v>
      </c>
      <c r="L49" s="11">
        <f>IF('INTERACTION-PAGE'!L49="","",'INTERACTION-PAGE'!L49)</f>
        <v>5</v>
      </c>
      <c r="M49" s="11">
        <f>IF('INTERACTION-PAGE'!M49="","",'INTERACTION-PAGE'!M49)</f>
        <v>2.5</v>
      </c>
      <c r="N49" s="11">
        <f>IF('INTERACTION-PAGE'!N49="","",'INTERACTION-PAGE'!N49)</f>
        <v>0</v>
      </c>
      <c r="O49" s="11">
        <f>IF('INTERACTION-PAGE'!O49="","",'INTERACTION-PAGE'!O49)</f>
        <v>0</v>
      </c>
      <c r="P49" s="11">
        <f>IF('INTERACTION-PAGE'!P49="","",'INTERACTION-PAGE'!P49)</f>
        <v>0</v>
      </c>
      <c r="Q49" s="11">
        <f>IF('INTERACTION-PAGE'!Q49="","",'INTERACTION-PAGE'!Q49)</f>
        <v>0</v>
      </c>
      <c r="R49" s="11">
        <f>IF('INTERACTION-PAGE'!R49="","",'INTERACTION-PAGE'!R49)</f>
        <v>0</v>
      </c>
      <c r="S49" s="11">
        <f>IF('INTERACTION-PAGE'!S49="","",'INTERACTION-PAGE'!S49)</f>
        <v>0</v>
      </c>
      <c r="T49" s="11">
        <f>IF('INTERACTION-PAGE'!T49="","",'INTERACTION-PAGE'!T49)</f>
        <v>22</v>
      </c>
      <c r="U49" s="11">
        <f>IF('INTERACTION-PAGE'!U49="","",'INTERACTION-PAGE'!U49)</f>
        <v>0</v>
      </c>
      <c r="V49" s="11">
        <f>IF('INTERACTION-PAGE'!V49="","",'INTERACTION-PAGE'!V49)</f>
        <v>0</v>
      </c>
      <c r="W49" s="11">
        <f>IF('INTERACTION-PAGE'!W49="","",'INTERACTION-PAGE'!W49)</f>
        <v>0</v>
      </c>
      <c r="X49" s="11">
        <f>IF('INTERACTION-PAGE'!X49="","",'INTERACTION-PAGE'!X49)</f>
        <v>0</v>
      </c>
      <c r="Y49" s="27">
        <f t="shared" si="3"/>
        <v>41.6</v>
      </c>
      <c r="Z49" s="27">
        <f t="shared" si="8"/>
        <v>76.666666666666671</v>
      </c>
      <c r="AA49" s="27">
        <f t="shared" si="4"/>
        <v>43.333333333333336</v>
      </c>
      <c r="AB49" s="27">
        <f t="shared" si="5"/>
        <v>34.285714285714285</v>
      </c>
      <c r="AC49" s="27">
        <f t="shared" si="6"/>
        <v>23.333333333333332</v>
      </c>
      <c r="AD49" s="27" t="str">
        <f t="shared" si="7"/>
        <v xml:space="preserve"> </v>
      </c>
      <c r="AE49" s="28">
        <f t="shared" si="9"/>
        <v>44.404761904761905</v>
      </c>
    </row>
    <row r="50" spans="1:31" ht="15" customHeight="1">
      <c r="A50" s="3">
        <v>40</v>
      </c>
      <c r="B50" s="11" t="str">
        <f>IF('INTERACTION-PAGE'!B50="","",'INTERACTION-PAGE'!B50)</f>
        <v>FEB24074</v>
      </c>
      <c r="C50" s="11" t="str">
        <f>IF('INTERACTION-PAGE'!C50="","",'INTERACTION-PAGE'!C50)</f>
        <v>GIRI SANKAR DAS</v>
      </c>
      <c r="D50" s="11" t="str">
        <f>IF('INTERACTION-PAGE'!D50="","",'INTERACTION-PAGE'!D50)</f>
        <v/>
      </c>
      <c r="E50" s="11">
        <f>IF('INTERACTION-PAGE'!E50="","",'INTERACTION-PAGE'!E50)</f>
        <v>0</v>
      </c>
      <c r="F50" s="11">
        <f>IF('INTERACTION-PAGE'!F50="","",'INTERACTION-PAGE'!F50)</f>
        <v>0</v>
      </c>
      <c r="G50" s="11">
        <f>IF('INTERACTION-PAGE'!G50="","",'INTERACTION-PAGE'!G50)</f>
        <v>7</v>
      </c>
      <c r="H50" s="11">
        <f>IF('INTERACTION-PAGE'!H50="","",'INTERACTION-PAGE'!H50)</f>
        <v>3.5</v>
      </c>
      <c r="I50" s="11">
        <f>IF('INTERACTION-PAGE'!I50="","",'INTERACTION-PAGE'!I50)</f>
        <v>0</v>
      </c>
      <c r="J50" s="11">
        <f>IF('INTERACTION-PAGE'!J50="","",'INTERACTION-PAGE'!J50)</f>
        <v>1</v>
      </c>
      <c r="K50" s="11">
        <f>IF('INTERACTION-PAGE'!K50="","",'INTERACTION-PAGE'!K50)</f>
        <v>4.5</v>
      </c>
      <c r="L50" s="11">
        <f>IF('INTERACTION-PAGE'!L50="","",'INTERACTION-PAGE'!L50)</f>
        <v>5</v>
      </c>
      <c r="M50" s="11">
        <f>IF('INTERACTION-PAGE'!M50="","",'INTERACTION-PAGE'!M50)</f>
        <v>9</v>
      </c>
      <c r="N50" s="11">
        <f>IF('INTERACTION-PAGE'!N50="","",'INTERACTION-PAGE'!N50)</f>
        <v>0</v>
      </c>
      <c r="O50" s="11">
        <f>IF('INTERACTION-PAGE'!O50="","",'INTERACTION-PAGE'!O50)</f>
        <v>0</v>
      </c>
      <c r="P50" s="11">
        <f>IF('INTERACTION-PAGE'!P50="","",'INTERACTION-PAGE'!P50)</f>
        <v>0</v>
      </c>
      <c r="Q50" s="11">
        <f>IF('INTERACTION-PAGE'!Q50="","",'INTERACTION-PAGE'!Q50)</f>
        <v>0</v>
      </c>
      <c r="R50" s="11">
        <f>IF('INTERACTION-PAGE'!R50="","",'INTERACTION-PAGE'!R50)</f>
        <v>0</v>
      </c>
      <c r="S50" s="11">
        <f>IF('INTERACTION-PAGE'!S50="","",'INTERACTION-PAGE'!S50)</f>
        <v>0</v>
      </c>
      <c r="T50" s="11">
        <f>IF('INTERACTION-PAGE'!T50="","",'INTERACTION-PAGE'!T50)</f>
        <v>22</v>
      </c>
      <c r="U50" s="11">
        <f>IF('INTERACTION-PAGE'!U50="","",'INTERACTION-PAGE'!U50)</f>
        <v>0</v>
      </c>
      <c r="V50" s="11">
        <f>IF('INTERACTION-PAGE'!V50="","",'INTERACTION-PAGE'!V50)</f>
        <v>0</v>
      </c>
      <c r="W50" s="11">
        <f>IF('INTERACTION-PAGE'!W50="","",'INTERACTION-PAGE'!W50)</f>
        <v>0</v>
      </c>
      <c r="X50" s="11">
        <f>IF('INTERACTION-PAGE'!X50="","",'INTERACTION-PAGE'!X50)</f>
        <v>0</v>
      </c>
      <c r="Y50" s="27">
        <f t="shared" si="3"/>
        <v>41.6</v>
      </c>
      <c r="Z50" s="27">
        <f t="shared" si="8"/>
        <v>76.666666666666671</v>
      </c>
      <c r="AA50" s="27">
        <f t="shared" si="4"/>
        <v>30</v>
      </c>
      <c r="AB50" s="27">
        <f t="shared" si="5"/>
        <v>34.285714285714285</v>
      </c>
      <c r="AC50" s="27">
        <f t="shared" si="6"/>
        <v>27.777777777777779</v>
      </c>
      <c r="AD50" s="27" t="str">
        <f t="shared" si="7"/>
        <v xml:space="preserve"> </v>
      </c>
      <c r="AE50" s="28">
        <f t="shared" si="9"/>
        <v>42.182539682539684</v>
      </c>
    </row>
    <row r="51" spans="1:31" ht="15" customHeight="1">
      <c r="A51" s="2">
        <v>41</v>
      </c>
      <c r="B51" s="11" t="str">
        <f>IF('INTERACTION-PAGE'!B51="","",'INTERACTION-PAGE'!B51)</f>
        <v>FEB24075</v>
      </c>
      <c r="C51" s="11" t="str">
        <f>IF('INTERACTION-PAGE'!C51="","",'INTERACTION-PAGE'!C51)</f>
        <v>AYAN HAZARIKA</v>
      </c>
      <c r="D51" s="11" t="str">
        <f>IF('INTERACTION-PAGE'!D51="","",'INTERACTION-PAGE'!D51)</f>
        <v/>
      </c>
      <c r="E51" s="11">
        <f>IF('INTERACTION-PAGE'!E51="","",'INTERACTION-PAGE'!E51)</f>
        <v>0</v>
      </c>
      <c r="F51" s="11">
        <f>IF('INTERACTION-PAGE'!F51="","",'INTERACTION-PAGE'!F51)</f>
        <v>0</v>
      </c>
      <c r="G51" s="11">
        <f>IF('INTERACTION-PAGE'!G51="","",'INTERACTION-PAGE'!G51)</f>
        <v>7</v>
      </c>
      <c r="H51" s="11">
        <f>IF('INTERACTION-PAGE'!H51="","",'INTERACTION-PAGE'!H51)</f>
        <v>0</v>
      </c>
      <c r="I51" s="11">
        <f>IF('INTERACTION-PAGE'!I51="","",'INTERACTION-PAGE'!I51)</f>
        <v>0</v>
      </c>
      <c r="J51" s="11">
        <f>IF('INTERACTION-PAGE'!J51="","",'INTERACTION-PAGE'!J51)</f>
        <v>2</v>
      </c>
      <c r="K51" s="11">
        <f>IF('INTERACTION-PAGE'!K51="","",'INTERACTION-PAGE'!K51)</f>
        <v>5.5</v>
      </c>
      <c r="L51" s="11">
        <f>IF('INTERACTION-PAGE'!L51="","",'INTERACTION-PAGE'!L51)</f>
        <v>7.5</v>
      </c>
      <c r="M51" s="11">
        <f>IF('INTERACTION-PAGE'!M51="","",'INTERACTION-PAGE'!M51)</f>
        <v>3</v>
      </c>
      <c r="N51" s="11">
        <f>IF('INTERACTION-PAGE'!N51="","",'INTERACTION-PAGE'!N51)</f>
        <v>0</v>
      </c>
      <c r="O51" s="11">
        <f>IF('INTERACTION-PAGE'!O51="","",'INTERACTION-PAGE'!O51)</f>
        <v>0</v>
      </c>
      <c r="P51" s="11">
        <f>IF('INTERACTION-PAGE'!P51="","",'INTERACTION-PAGE'!P51)</f>
        <v>0</v>
      </c>
      <c r="Q51" s="11">
        <f>IF('INTERACTION-PAGE'!Q51="","",'INTERACTION-PAGE'!Q51)</f>
        <v>0</v>
      </c>
      <c r="R51" s="11">
        <f>IF('INTERACTION-PAGE'!R51="","",'INTERACTION-PAGE'!R51)</f>
        <v>0</v>
      </c>
      <c r="S51" s="11">
        <f>IF('INTERACTION-PAGE'!S51="","",'INTERACTION-PAGE'!S51)</f>
        <v>0</v>
      </c>
      <c r="T51" s="11">
        <f>IF('INTERACTION-PAGE'!T51="","",'INTERACTION-PAGE'!T51)</f>
        <v>16</v>
      </c>
      <c r="U51" s="11">
        <f>IF('INTERACTION-PAGE'!U51="","",'INTERACTION-PAGE'!U51)</f>
        <v>0</v>
      </c>
      <c r="V51" s="11">
        <f>IF('INTERACTION-PAGE'!V51="","",'INTERACTION-PAGE'!V51)</f>
        <v>0</v>
      </c>
      <c r="W51" s="11">
        <f>IF('INTERACTION-PAGE'!W51="","",'INTERACTION-PAGE'!W51)</f>
        <v>0</v>
      </c>
      <c r="X51" s="11">
        <f>IF('INTERACTION-PAGE'!X51="","",'INTERACTION-PAGE'!X51)</f>
        <v>0</v>
      </c>
      <c r="Y51" s="27">
        <f t="shared" si="3"/>
        <v>32.799999999999997</v>
      </c>
      <c r="Z51" s="27">
        <f t="shared" si="8"/>
        <v>60</v>
      </c>
      <c r="AA51" s="27">
        <f t="shared" si="4"/>
        <v>36.666666666666664</v>
      </c>
      <c r="AB51" s="27">
        <f t="shared" si="5"/>
        <v>41.428571428571431</v>
      </c>
      <c r="AC51" s="27">
        <f t="shared" si="6"/>
        <v>6.666666666666667</v>
      </c>
      <c r="AD51" s="27" t="str">
        <f t="shared" si="7"/>
        <v xml:space="preserve"> </v>
      </c>
      <c r="AE51" s="28">
        <f t="shared" si="9"/>
        <v>36.190476190476183</v>
      </c>
    </row>
    <row r="52" spans="1:31" ht="15" customHeight="1">
      <c r="A52" s="3">
        <v>42</v>
      </c>
      <c r="B52" s="11" t="str">
        <f>IF('INTERACTION-PAGE'!B52="","",'INTERACTION-PAGE'!B52)</f>
        <v>FEB24076</v>
      </c>
      <c r="C52" s="11" t="str">
        <f>IF('INTERACTION-PAGE'!C52="","",'INTERACTION-PAGE'!C52)</f>
        <v>BRISHTI KAUSHIK</v>
      </c>
      <c r="D52" s="11" t="str">
        <f>IF('INTERACTION-PAGE'!D52="","",'INTERACTION-PAGE'!D52)</f>
        <v/>
      </c>
      <c r="E52" s="11">
        <f>IF('INTERACTION-PAGE'!E52="","",'INTERACTION-PAGE'!E52)</f>
        <v>0</v>
      </c>
      <c r="F52" s="11">
        <f>IF('INTERACTION-PAGE'!F52="","",'INTERACTION-PAGE'!F52)</f>
        <v>1</v>
      </c>
      <c r="G52" s="11">
        <f>IF('INTERACTION-PAGE'!G52="","",'INTERACTION-PAGE'!G52)</f>
        <v>8</v>
      </c>
      <c r="H52" s="11">
        <f>IF('INTERACTION-PAGE'!H52="","",'INTERACTION-PAGE'!H52)</f>
        <v>24</v>
      </c>
      <c r="I52" s="11">
        <f>IF('INTERACTION-PAGE'!I52="","",'INTERACTION-PAGE'!I52)</f>
        <v>0</v>
      </c>
      <c r="J52" s="11">
        <f>IF('INTERACTION-PAGE'!J52="","",'INTERACTION-PAGE'!J52)</f>
        <v>2</v>
      </c>
      <c r="K52" s="11">
        <f>IF('INTERACTION-PAGE'!K52="","",'INTERACTION-PAGE'!K52)</f>
        <v>10</v>
      </c>
      <c r="L52" s="11">
        <f>IF('INTERACTION-PAGE'!L52="","",'INTERACTION-PAGE'!L52)</f>
        <v>7</v>
      </c>
      <c r="M52" s="11">
        <f>IF('INTERACTION-PAGE'!M52="","",'INTERACTION-PAGE'!M52)</f>
        <v>5</v>
      </c>
      <c r="N52" s="11">
        <f>IF('INTERACTION-PAGE'!N52="","",'INTERACTION-PAGE'!N52)</f>
        <v>0</v>
      </c>
      <c r="O52" s="11">
        <f>IF('INTERACTION-PAGE'!O52="","",'INTERACTION-PAGE'!O52)</f>
        <v>0</v>
      </c>
      <c r="P52" s="11">
        <f>IF('INTERACTION-PAGE'!P52="","",'INTERACTION-PAGE'!P52)</f>
        <v>0</v>
      </c>
      <c r="Q52" s="11">
        <f>IF('INTERACTION-PAGE'!Q52="","",'INTERACTION-PAGE'!Q52)</f>
        <v>0</v>
      </c>
      <c r="R52" s="11">
        <f>IF('INTERACTION-PAGE'!R52="","",'INTERACTION-PAGE'!R52)</f>
        <v>0</v>
      </c>
      <c r="S52" s="11">
        <f>IF('INTERACTION-PAGE'!S52="","",'INTERACTION-PAGE'!S52)</f>
        <v>0</v>
      </c>
      <c r="T52" s="11">
        <f>IF('INTERACTION-PAGE'!T52="","",'INTERACTION-PAGE'!T52)</f>
        <v>21</v>
      </c>
      <c r="U52" s="11">
        <f>IF('INTERACTION-PAGE'!U52="","",'INTERACTION-PAGE'!U52)</f>
        <v>0</v>
      </c>
      <c r="V52" s="11">
        <f>IF('INTERACTION-PAGE'!V52="","",'INTERACTION-PAGE'!V52)</f>
        <v>0</v>
      </c>
      <c r="W52" s="11">
        <f>IF('INTERACTION-PAGE'!W52="","",'INTERACTION-PAGE'!W52)</f>
        <v>0</v>
      </c>
      <c r="X52" s="11">
        <f>IF('INTERACTION-PAGE'!X52="","",'INTERACTION-PAGE'!X52)</f>
        <v>0</v>
      </c>
      <c r="Y52" s="27">
        <f t="shared" si="3"/>
        <v>62.4</v>
      </c>
      <c r="Z52" s="27">
        <f t="shared" si="8"/>
        <v>76.666666666666671</v>
      </c>
      <c r="AA52" s="27">
        <f t="shared" si="4"/>
        <v>73.333333333333329</v>
      </c>
      <c r="AB52" s="27">
        <f t="shared" si="5"/>
        <v>42.857142857142854</v>
      </c>
      <c r="AC52" s="27">
        <f t="shared" si="6"/>
        <v>64.444444444444443</v>
      </c>
      <c r="AD52" s="27" t="str">
        <f t="shared" si="7"/>
        <v xml:space="preserve"> </v>
      </c>
      <c r="AE52" s="28">
        <f t="shared" si="9"/>
        <v>64.325396825396822</v>
      </c>
    </row>
    <row r="53" spans="1:31" ht="15" customHeight="1">
      <c r="A53" s="2">
        <v>43</v>
      </c>
      <c r="B53" s="11" t="str">
        <f>IF('INTERACTION-PAGE'!B53="","",'INTERACTION-PAGE'!B53)</f>
        <v>FEB24077</v>
      </c>
      <c r="C53" s="11" t="str">
        <f>IF('INTERACTION-PAGE'!C53="","",'INTERACTION-PAGE'!C53)</f>
        <v>SUSHANTA KISHUR KHANIKOR</v>
      </c>
      <c r="D53" s="11" t="str">
        <f>IF('INTERACTION-PAGE'!D53="","",'INTERACTION-PAGE'!D53)</f>
        <v/>
      </c>
      <c r="E53" s="11">
        <f>IF('INTERACTION-PAGE'!E53="","",'INTERACTION-PAGE'!E53)</f>
        <v>0</v>
      </c>
      <c r="F53" s="11">
        <f>IF('INTERACTION-PAGE'!F53="","",'INTERACTION-PAGE'!F53)</f>
        <v>0</v>
      </c>
      <c r="G53" s="11">
        <f>IF('INTERACTION-PAGE'!G53="","",'INTERACTION-PAGE'!G53)</f>
        <v>7</v>
      </c>
      <c r="H53" s="11">
        <f>IF('INTERACTION-PAGE'!H53="","",'INTERACTION-PAGE'!H53)</f>
        <v>16.5</v>
      </c>
      <c r="I53" s="11">
        <f>IF('INTERACTION-PAGE'!I53="","",'INTERACTION-PAGE'!I53)</f>
        <v>0</v>
      </c>
      <c r="J53" s="11">
        <f>IF('INTERACTION-PAGE'!J53="","",'INTERACTION-PAGE'!J53)</f>
        <v>2.5</v>
      </c>
      <c r="K53" s="11">
        <f>IF('INTERACTION-PAGE'!K53="","",'INTERACTION-PAGE'!K53)</f>
        <v>8.5</v>
      </c>
      <c r="L53" s="11">
        <f>IF('INTERACTION-PAGE'!L53="","",'INTERACTION-PAGE'!L53)</f>
        <v>6</v>
      </c>
      <c r="M53" s="11">
        <f>IF('INTERACTION-PAGE'!M53="","",'INTERACTION-PAGE'!M53)</f>
        <v>4</v>
      </c>
      <c r="N53" s="11">
        <f>IF('INTERACTION-PAGE'!N53="","",'INTERACTION-PAGE'!N53)</f>
        <v>0</v>
      </c>
      <c r="O53" s="11">
        <f>IF('INTERACTION-PAGE'!O53="","",'INTERACTION-PAGE'!O53)</f>
        <v>0</v>
      </c>
      <c r="P53" s="11">
        <f>IF('INTERACTION-PAGE'!P53="","",'INTERACTION-PAGE'!P53)</f>
        <v>0</v>
      </c>
      <c r="Q53" s="11">
        <f>IF('INTERACTION-PAGE'!Q53="","",'INTERACTION-PAGE'!Q53)</f>
        <v>0</v>
      </c>
      <c r="R53" s="11">
        <f>IF('INTERACTION-PAGE'!R53="","",'INTERACTION-PAGE'!R53)</f>
        <v>0</v>
      </c>
      <c r="S53" s="11">
        <f>IF('INTERACTION-PAGE'!S53="","",'INTERACTION-PAGE'!S53)</f>
        <v>0</v>
      </c>
      <c r="T53" s="11">
        <f>IF('INTERACTION-PAGE'!T53="","",'INTERACTION-PAGE'!T53)</f>
        <v>21</v>
      </c>
      <c r="U53" s="11">
        <f>IF('INTERACTION-PAGE'!U53="","",'INTERACTION-PAGE'!U53)</f>
        <v>0</v>
      </c>
      <c r="V53" s="11">
        <f>IF('INTERACTION-PAGE'!V53="","",'INTERACTION-PAGE'!V53)</f>
        <v>0</v>
      </c>
      <c r="W53" s="11">
        <f>IF('INTERACTION-PAGE'!W53="","",'INTERACTION-PAGE'!W53)</f>
        <v>0</v>
      </c>
      <c r="X53" s="11">
        <f>IF('INTERACTION-PAGE'!X53="","",'INTERACTION-PAGE'!X53)</f>
        <v>0</v>
      </c>
      <c r="Y53" s="27">
        <f t="shared" si="3"/>
        <v>52.4</v>
      </c>
      <c r="Z53" s="27">
        <f t="shared" si="8"/>
        <v>78.333333333333329</v>
      </c>
      <c r="AA53" s="27">
        <f t="shared" si="4"/>
        <v>56.666666666666664</v>
      </c>
      <c r="AB53" s="27">
        <f t="shared" si="5"/>
        <v>37.142857142857146</v>
      </c>
      <c r="AC53" s="27">
        <f t="shared" si="6"/>
        <v>45.555555555555557</v>
      </c>
      <c r="AD53" s="27" t="str">
        <f t="shared" si="7"/>
        <v xml:space="preserve"> </v>
      </c>
      <c r="AE53" s="28">
        <f t="shared" si="9"/>
        <v>54.424603174603178</v>
      </c>
    </row>
    <row r="54" spans="1:31" ht="15" customHeight="1">
      <c r="A54" s="3">
        <v>44</v>
      </c>
      <c r="B54" s="11" t="str">
        <f>IF('INTERACTION-PAGE'!B54="","",'INTERACTION-PAGE'!B54)</f>
        <v>FEB24078</v>
      </c>
      <c r="C54" s="11" t="str">
        <f>IF('INTERACTION-PAGE'!C54="","",'INTERACTION-PAGE'!C54)</f>
        <v>RATNANGI KASHYAP</v>
      </c>
      <c r="D54" s="11" t="str">
        <f>IF('INTERACTION-PAGE'!D54="","",'INTERACTION-PAGE'!D54)</f>
        <v/>
      </c>
      <c r="E54" s="11">
        <f>IF('INTERACTION-PAGE'!E54="","",'INTERACTION-PAGE'!E54)</f>
        <v>0</v>
      </c>
      <c r="F54" s="11">
        <f>IF('INTERACTION-PAGE'!F54="","",'INTERACTION-PAGE'!F54)</f>
        <v>0</v>
      </c>
      <c r="G54" s="11">
        <f>IF('INTERACTION-PAGE'!G54="","",'INTERACTION-PAGE'!G54)</f>
        <v>7</v>
      </c>
      <c r="H54" s="11">
        <f>IF('INTERACTION-PAGE'!H54="","",'INTERACTION-PAGE'!H54)</f>
        <v>2</v>
      </c>
      <c r="I54" s="11">
        <f>IF('INTERACTION-PAGE'!I54="","",'INTERACTION-PAGE'!I54)</f>
        <v>0</v>
      </c>
      <c r="J54" s="11">
        <f>IF('INTERACTION-PAGE'!J54="","",'INTERACTION-PAGE'!J54)</f>
        <v>4.5</v>
      </c>
      <c r="K54" s="11">
        <f>IF('INTERACTION-PAGE'!K54="","",'INTERACTION-PAGE'!K54)</f>
        <v>5.5</v>
      </c>
      <c r="L54" s="11">
        <f>IF('INTERACTION-PAGE'!L54="","",'INTERACTION-PAGE'!L54)</f>
        <v>5</v>
      </c>
      <c r="M54" s="11">
        <f>IF('INTERACTION-PAGE'!M54="","",'INTERACTION-PAGE'!M54)</f>
        <v>3</v>
      </c>
      <c r="N54" s="11">
        <f>IF('INTERACTION-PAGE'!N54="","",'INTERACTION-PAGE'!N54)</f>
        <v>0</v>
      </c>
      <c r="O54" s="11">
        <f>IF('INTERACTION-PAGE'!O54="","",'INTERACTION-PAGE'!O54)</f>
        <v>0</v>
      </c>
      <c r="P54" s="11">
        <f>IF('INTERACTION-PAGE'!P54="","",'INTERACTION-PAGE'!P54)</f>
        <v>0</v>
      </c>
      <c r="Q54" s="11">
        <f>IF('INTERACTION-PAGE'!Q54="","",'INTERACTION-PAGE'!Q54)</f>
        <v>0</v>
      </c>
      <c r="R54" s="11">
        <f>IF('INTERACTION-PAGE'!R54="","",'INTERACTION-PAGE'!R54)</f>
        <v>0</v>
      </c>
      <c r="S54" s="11">
        <f>IF('INTERACTION-PAGE'!S54="","",'INTERACTION-PAGE'!S54)</f>
        <v>0</v>
      </c>
      <c r="T54" s="11">
        <f>IF('INTERACTION-PAGE'!T54="","",'INTERACTION-PAGE'!T54)</f>
        <v>20</v>
      </c>
      <c r="U54" s="11">
        <f>IF('INTERACTION-PAGE'!U54="","",'INTERACTION-PAGE'!U54)</f>
        <v>0</v>
      </c>
      <c r="V54" s="11">
        <f>IF('INTERACTION-PAGE'!V54="","",'INTERACTION-PAGE'!V54)</f>
        <v>0</v>
      </c>
      <c r="W54" s="11">
        <f>IF('INTERACTION-PAGE'!W54="","",'INTERACTION-PAGE'!W54)</f>
        <v>0</v>
      </c>
      <c r="X54" s="11">
        <f>IF('INTERACTION-PAGE'!X54="","",'INTERACTION-PAGE'!X54)</f>
        <v>0</v>
      </c>
      <c r="Y54" s="27">
        <f t="shared" si="3"/>
        <v>37.6</v>
      </c>
      <c r="Z54" s="27">
        <f t="shared" si="8"/>
        <v>81.666666666666671</v>
      </c>
      <c r="AA54" s="27">
        <f t="shared" si="4"/>
        <v>36.666666666666664</v>
      </c>
      <c r="AB54" s="27">
        <f t="shared" si="5"/>
        <v>34.285714285714285</v>
      </c>
      <c r="AC54" s="27">
        <f t="shared" si="6"/>
        <v>11.111111111111111</v>
      </c>
      <c r="AD54" s="27" t="str">
        <f t="shared" si="7"/>
        <v xml:space="preserve"> </v>
      </c>
      <c r="AE54" s="28">
        <f t="shared" si="9"/>
        <v>40.932539682539684</v>
      </c>
    </row>
    <row r="55" spans="1:31" ht="15" customHeight="1">
      <c r="A55" s="2">
        <v>45</v>
      </c>
      <c r="B55" s="11" t="str">
        <f>IF('INTERACTION-PAGE'!B55="","",'INTERACTION-PAGE'!B55)</f>
        <v>FEB24079</v>
      </c>
      <c r="C55" s="11" t="str">
        <f>IF('INTERACTION-PAGE'!C55="","",'INTERACTION-PAGE'!C55)</f>
        <v>RUCHI PAUL</v>
      </c>
      <c r="D55" s="11" t="str">
        <f>IF('INTERACTION-PAGE'!D55="","",'INTERACTION-PAGE'!D55)</f>
        <v/>
      </c>
      <c r="E55" s="11">
        <f>IF('INTERACTION-PAGE'!E55="","",'INTERACTION-PAGE'!E55)</f>
        <v>0</v>
      </c>
      <c r="F55" s="11">
        <f>IF('INTERACTION-PAGE'!F55="","",'INTERACTION-PAGE'!F55)</f>
        <v>0</v>
      </c>
      <c r="G55" s="11">
        <f>IF('INTERACTION-PAGE'!G55="","",'INTERACTION-PAGE'!G55)</f>
        <v>6</v>
      </c>
      <c r="H55" s="11">
        <f>IF('INTERACTION-PAGE'!H55="","",'INTERACTION-PAGE'!H55)</f>
        <v>10</v>
      </c>
      <c r="I55" s="11">
        <f>IF('INTERACTION-PAGE'!I55="","",'INTERACTION-PAGE'!I55)</f>
        <v>0</v>
      </c>
      <c r="J55" s="11">
        <f>IF('INTERACTION-PAGE'!J55="","",'INTERACTION-PAGE'!J55)</f>
        <v>4.5</v>
      </c>
      <c r="K55" s="11">
        <f>IF('INTERACTION-PAGE'!K55="","",'INTERACTION-PAGE'!K55)</f>
        <v>6</v>
      </c>
      <c r="L55" s="11">
        <f>IF('INTERACTION-PAGE'!L55="","",'INTERACTION-PAGE'!L55)</f>
        <v>7</v>
      </c>
      <c r="M55" s="11">
        <f>IF('INTERACTION-PAGE'!M55="","",'INTERACTION-PAGE'!M55)</f>
        <v>4.5</v>
      </c>
      <c r="N55" s="11">
        <f>IF('INTERACTION-PAGE'!N55="","",'INTERACTION-PAGE'!N55)</f>
        <v>0</v>
      </c>
      <c r="O55" s="11">
        <f>IF('INTERACTION-PAGE'!O55="","",'INTERACTION-PAGE'!O55)</f>
        <v>0</v>
      </c>
      <c r="P55" s="11">
        <f>IF('INTERACTION-PAGE'!P55="","",'INTERACTION-PAGE'!P55)</f>
        <v>0</v>
      </c>
      <c r="Q55" s="11">
        <f>IF('INTERACTION-PAGE'!Q55="","",'INTERACTION-PAGE'!Q55)</f>
        <v>0</v>
      </c>
      <c r="R55" s="11">
        <f>IF('INTERACTION-PAGE'!R55="","",'INTERACTION-PAGE'!R55)</f>
        <v>0</v>
      </c>
      <c r="S55" s="11">
        <f>IF('INTERACTION-PAGE'!S55="","",'INTERACTION-PAGE'!S55)</f>
        <v>0</v>
      </c>
      <c r="T55" s="11">
        <f>IF('INTERACTION-PAGE'!T55="","",'INTERACTION-PAGE'!T55)</f>
        <v>20</v>
      </c>
      <c r="U55" s="11">
        <f>IF('INTERACTION-PAGE'!U55="","",'INTERACTION-PAGE'!U55)</f>
        <v>0</v>
      </c>
      <c r="V55" s="11">
        <f>IF('INTERACTION-PAGE'!V55="","",'INTERACTION-PAGE'!V55)</f>
        <v>0</v>
      </c>
      <c r="W55" s="11">
        <f>IF('INTERACTION-PAGE'!W55="","",'INTERACTION-PAGE'!W55)</f>
        <v>0</v>
      </c>
      <c r="X55" s="11">
        <f>IF('INTERACTION-PAGE'!X55="","",'INTERACTION-PAGE'!X55)</f>
        <v>0</v>
      </c>
      <c r="Y55" s="27">
        <f t="shared" si="3"/>
        <v>46.4</v>
      </c>
      <c r="Z55" s="27">
        <f t="shared" si="8"/>
        <v>81.666666666666671</v>
      </c>
      <c r="AA55" s="27">
        <f t="shared" si="4"/>
        <v>40</v>
      </c>
      <c r="AB55" s="27">
        <f t="shared" si="5"/>
        <v>37.142857142857146</v>
      </c>
      <c r="AC55" s="27">
        <f t="shared" si="6"/>
        <v>32.222222222222221</v>
      </c>
      <c r="AD55" s="27" t="str">
        <f t="shared" si="7"/>
        <v xml:space="preserve"> </v>
      </c>
      <c r="AE55" s="28">
        <f t="shared" si="9"/>
        <v>47.757936507936513</v>
      </c>
    </row>
    <row r="56" spans="1:31" ht="15" customHeight="1">
      <c r="A56" s="3">
        <v>46</v>
      </c>
      <c r="B56" s="11" t="str">
        <f>IF('INTERACTION-PAGE'!B56="","",'INTERACTION-PAGE'!B56)</f>
        <v>FEB24080</v>
      </c>
      <c r="C56" s="11" t="str">
        <f>IF('INTERACTION-PAGE'!C56="","",'INTERACTION-PAGE'!C56)</f>
        <v>Elvis Milimo Wanyonic</v>
      </c>
      <c r="D56" s="11" t="str">
        <f>IF('INTERACTION-PAGE'!D56="","",'INTERACTION-PAGE'!D56)</f>
        <v/>
      </c>
      <c r="E56" s="11">
        <f>IF('INTERACTION-PAGE'!E56="","",'INTERACTION-PAGE'!E56)</f>
        <v>0</v>
      </c>
      <c r="F56" s="11">
        <f>IF('INTERACTION-PAGE'!F56="","",'INTERACTION-PAGE'!F56)</f>
        <v>1</v>
      </c>
      <c r="G56" s="11">
        <f>IF('INTERACTION-PAGE'!G56="","",'INTERACTION-PAGE'!G56)</f>
        <v>11</v>
      </c>
      <c r="H56" s="11">
        <f>IF('INTERACTION-PAGE'!H56="","",'INTERACTION-PAGE'!H56)</f>
        <v>4</v>
      </c>
      <c r="I56" s="11">
        <f>IF('INTERACTION-PAGE'!I56="","",'INTERACTION-PAGE'!I56)</f>
        <v>0</v>
      </c>
      <c r="J56" s="11">
        <f>IF('INTERACTION-PAGE'!J56="","",'INTERACTION-PAGE'!J56)</f>
        <v>2.5</v>
      </c>
      <c r="K56" s="11">
        <f>IF('INTERACTION-PAGE'!K56="","",'INTERACTION-PAGE'!K56)</f>
        <v>1.5</v>
      </c>
      <c r="L56" s="11">
        <f>IF('INTERACTION-PAGE'!L56="","",'INTERACTION-PAGE'!L56)</f>
        <v>4</v>
      </c>
      <c r="M56" s="11">
        <f>IF('INTERACTION-PAGE'!M56="","",'INTERACTION-PAGE'!M56)</f>
        <v>5</v>
      </c>
      <c r="N56" s="11">
        <f>IF('INTERACTION-PAGE'!N56="","",'INTERACTION-PAGE'!N56)</f>
        <v>0</v>
      </c>
      <c r="O56" s="11">
        <f>IF('INTERACTION-PAGE'!O56="","",'INTERACTION-PAGE'!O56)</f>
        <v>0</v>
      </c>
      <c r="P56" s="11">
        <f>IF('INTERACTION-PAGE'!P56="","",'INTERACTION-PAGE'!P56)</f>
        <v>0</v>
      </c>
      <c r="Q56" s="11">
        <f>IF('INTERACTION-PAGE'!Q56="","",'INTERACTION-PAGE'!Q56)</f>
        <v>0</v>
      </c>
      <c r="R56" s="11">
        <f>IF('INTERACTION-PAGE'!R56="","",'INTERACTION-PAGE'!R56)</f>
        <v>0</v>
      </c>
      <c r="S56" s="11">
        <f>IF('INTERACTION-PAGE'!S56="","",'INTERACTION-PAGE'!S56)</f>
        <v>0</v>
      </c>
      <c r="T56" s="11">
        <f>IF('INTERACTION-PAGE'!T56="","",'INTERACTION-PAGE'!T56)</f>
        <v>15</v>
      </c>
      <c r="U56" s="11">
        <f>IF('INTERACTION-PAGE'!U56="","",'INTERACTION-PAGE'!U56)</f>
        <v>0</v>
      </c>
      <c r="V56" s="11">
        <f>IF('INTERACTION-PAGE'!V56="","",'INTERACTION-PAGE'!V56)</f>
        <v>0</v>
      </c>
      <c r="W56" s="11">
        <f>IF('INTERACTION-PAGE'!W56="","",'INTERACTION-PAGE'!W56)</f>
        <v>0</v>
      </c>
      <c r="X56" s="11">
        <f>IF('INTERACTION-PAGE'!X56="","",'INTERACTION-PAGE'!X56)</f>
        <v>0</v>
      </c>
      <c r="Y56" s="27">
        <f t="shared" si="3"/>
        <v>35.200000000000003</v>
      </c>
      <c r="Z56" s="27">
        <f t="shared" si="8"/>
        <v>58.333333333333336</v>
      </c>
      <c r="AA56" s="27">
        <f t="shared" si="4"/>
        <v>16.666666666666668</v>
      </c>
      <c r="AB56" s="27">
        <f t="shared" si="5"/>
        <v>42.857142857142854</v>
      </c>
      <c r="AC56" s="27">
        <f t="shared" si="6"/>
        <v>20</v>
      </c>
      <c r="AD56" s="27" t="str">
        <f t="shared" si="7"/>
        <v xml:space="preserve"> </v>
      </c>
      <c r="AE56" s="28">
        <f t="shared" si="9"/>
        <v>34.464285714285715</v>
      </c>
    </row>
    <row r="57" spans="1:31" ht="15" customHeight="1">
      <c r="A57" s="2">
        <v>47</v>
      </c>
      <c r="B57" s="11" t="str">
        <f>IF('INTERACTION-PAGE'!B57="","",'INTERACTION-PAGE'!B57)</f>
        <v>DBD24001</v>
      </c>
      <c r="C57" s="11" t="str">
        <f>IF('INTERACTION-PAGE'!C57="","",'INTERACTION-PAGE'!C57)</f>
        <v>Abhinav J.S Roodia</v>
      </c>
      <c r="D57" s="11" t="str">
        <f>IF('INTERACTION-PAGE'!D57="","",'INTERACTION-PAGE'!D57)</f>
        <v/>
      </c>
      <c r="E57" s="11">
        <f>IF('INTERACTION-PAGE'!E57="","",'INTERACTION-PAGE'!E57)</f>
        <v>0</v>
      </c>
      <c r="F57" s="11">
        <f>IF('INTERACTION-PAGE'!F57="","",'INTERACTION-PAGE'!F57)</f>
        <v>0</v>
      </c>
      <c r="G57" s="11">
        <f>IF('INTERACTION-PAGE'!G57="","",'INTERACTION-PAGE'!G57)</f>
        <v>11</v>
      </c>
      <c r="H57" s="11">
        <f>IF('INTERACTION-PAGE'!H57="","",'INTERACTION-PAGE'!H57)</f>
        <v>15.5</v>
      </c>
      <c r="I57" s="11">
        <f>IF('INTERACTION-PAGE'!I57="","",'INTERACTION-PAGE'!I57)</f>
        <v>0</v>
      </c>
      <c r="J57" s="11">
        <f>IF('INTERACTION-PAGE'!J57="","",'INTERACTION-PAGE'!J57)</f>
        <v>0.5</v>
      </c>
      <c r="K57" s="11">
        <f>IF('INTERACTION-PAGE'!K57="","",'INTERACTION-PAGE'!K57)</f>
        <v>9.5</v>
      </c>
      <c r="L57" s="11">
        <f>IF('INTERACTION-PAGE'!L57="","",'INTERACTION-PAGE'!L57)</f>
        <v>9</v>
      </c>
      <c r="M57" s="11">
        <f>IF('INTERACTION-PAGE'!M57="","",'INTERACTION-PAGE'!M57)</f>
        <v>8.5</v>
      </c>
      <c r="N57" s="11">
        <f>IF('INTERACTION-PAGE'!N57="","",'INTERACTION-PAGE'!N57)</f>
        <v>0</v>
      </c>
      <c r="O57" s="11">
        <f>IF('INTERACTION-PAGE'!O57="","",'INTERACTION-PAGE'!O57)</f>
        <v>0</v>
      </c>
      <c r="P57" s="11">
        <f>IF('INTERACTION-PAGE'!P57="","",'INTERACTION-PAGE'!P57)</f>
        <v>0</v>
      </c>
      <c r="Q57" s="11">
        <f>IF('INTERACTION-PAGE'!Q57="","",'INTERACTION-PAGE'!Q57)</f>
        <v>0</v>
      </c>
      <c r="R57" s="11">
        <f>IF('INTERACTION-PAGE'!R57="","",'INTERACTION-PAGE'!R57)</f>
        <v>0</v>
      </c>
      <c r="S57" s="11">
        <f>IF('INTERACTION-PAGE'!S57="","",'INTERACTION-PAGE'!S57)</f>
        <v>0</v>
      </c>
      <c r="T57" s="11">
        <f>IF('INTERACTION-PAGE'!T57="","",'INTERACTION-PAGE'!T57)</f>
        <v>21</v>
      </c>
      <c r="U57" s="11">
        <f>IF('INTERACTION-PAGE'!U57="","",'INTERACTION-PAGE'!U57)</f>
        <v>0</v>
      </c>
      <c r="V57" s="11">
        <f>IF('INTERACTION-PAGE'!V57="","",'INTERACTION-PAGE'!V57)</f>
        <v>0</v>
      </c>
      <c r="W57" s="11">
        <f>IF('INTERACTION-PAGE'!W57="","",'INTERACTION-PAGE'!W57)</f>
        <v>0</v>
      </c>
      <c r="X57" s="11">
        <f>IF('INTERACTION-PAGE'!X57="","",'INTERACTION-PAGE'!X57)</f>
        <v>0</v>
      </c>
      <c r="Y57" s="27">
        <f t="shared" si="3"/>
        <v>60</v>
      </c>
      <c r="Z57" s="27">
        <f t="shared" si="8"/>
        <v>71.666666666666671</v>
      </c>
      <c r="AA57" s="27">
        <f t="shared" si="4"/>
        <v>63.333333333333336</v>
      </c>
      <c r="AB57" s="27">
        <f t="shared" si="5"/>
        <v>57.142857142857146</v>
      </c>
      <c r="AC57" s="27">
        <f t="shared" si="6"/>
        <v>53.333333333333336</v>
      </c>
      <c r="AD57" s="27" t="str">
        <f t="shared" si="7"/>
        <v xml:space="preserve"> </v>
      </c>
      <c r="AE57" s="28">
        <f t="shared" si="9"/>
        <v>61.36904761904762</v>
      </c>
    </row>
    <row r="58" spans="1:31" ht="15" customHeight="1">
      <c r="A58" s="3">
        <v>48</v>
      </c>
      <c r="B58" s="11" t="str">
        <f>IF('INTERACTION-PAGE'!B58="","",'INTERACTION-PAGE'!B58)</f>
        <v>DBD24002</v>
      </c>
      <c r="C58" s="11" t="str">
        <f>IF('INTERACTION-PAGE'!C58="","",'INTERACTION-PAGE'!C58)</f>
        <v>Neelashree Bhowmick</v>
      </c>
      <c r="D58" s="11" t="str">
        <f>IF('INTERACTION-PAGE'!D58="","",'INTERACTION-PAGE'!D58)</f>
        <v/>
      </c>
      <c r="E58" s="11">
        <f>IF('INTERACTION-PAGE'!E58="","",'INTERACTION-PAGE'!E58)</f>
        <v>0</v>
      </c>
      <c r="F58" s="11">
        <f>IF('INTERACTION-PAGE'!F58="","",'INTERACTION-PAGE'!F58)</f>
        <v>7</v>
      </c>
      <c r="G58" s="11">
        <f>IF('INTERACTION-PAGE'!G58="","",'INTERACTION-PAGE'!G58)</f>
        <v>9</v>
      </c>
      <c r="H58" s="11">
        <f>IF('INTERACTION-PAGE'!H58="","",'INTERACTION-PAGE'!H58)</f>
        <v>17</v>
      </c>
      <c r="I58" s="11">
        <f>IF('INTERACTION-PAGE'!I58="","",'INTERACTION-PAGE'!I58)</f>
        <v>0</v>
      </c>
      <c r="J58" s="11">
        <f>IF('INTERACTION-PAGE'!J58="","",'INTERACTION-PAGE'!J58)</f>
        <v>2.5</v>
      </c>
      <c r="K58" s="11">
        <f>IF('INTERACTION-PAGE'!K58="","",'INTERACTION-PAGE'!K58)</f>
        <v>10</v>
      </c>
      <c r="L58" s="11">
        <f>IF('INTERACTION-PAGE'!L58="","",'INTERACTION-PAGE'!L58)</f>
        <v>8</v>
      </c>
      <c r="M58" s="11">
        <f>IF('INTERACTION-PAGE'!M58="","",'INTERACTION-PAGE'!M58)</f>
        <v>8</v>
      </c>
      <c r="N58" s="11">
        <f>IF('INTERACTION-PAGE'!N58="","",'INTERACTION-PAGE'!N58)</f>
        <v>0</v>
      </c>
      <c r="O58" s="11">
        <f>IF('INTERACTION-PAGE'!O58="","",'INTERACTION-PAGE'!O58)</f>
        <v>0</v>
      </c>
      <c r="P58" s="11">
        <f>IF('INTERACTION-PAGE'!P58="","",'INTERACTION-PAGE'!P58)</f>
        <v>0</v>
      </c>
      <c r="Q58" s="11">
        <f>IF('INTERACTION-PAGE'!Q58="","",'INTERACTION-PAGE'!Q58)</f>
        <v>0</v>
      </c>
      <c r="R58" s="11">
        <f>IF('INTERACTION-PAGE'!R58="","",'INTERACTION-PAGE'!R58)</f>
        <v>0</v>
      </c>
      <c r="S58" s="11">
        <f>IF('INTERACTION-PAGE'!S58="","",'INTERACTION-PAGE'!S58)</f>
        <v>0</v>
      </c>
      <c r="T58" s="11">
        <f>IF('INTERACTION-PAGE'!T58="","",'INTERACTION-PAGE'!T58)</f>
        <v>19</v>
      </c>
      <c r="U58" s="11">
        <f>IF('INTERACTION-PAGE'!U58="","",'INTERACTION-PAGE'!U58)</f>
        <v>0</v>
      </c>
      <c r="V58" s="11">
        <f>IF('INTERACTION-PAGE'!V58="","",'INTERACTION-PAGE'!V58)</f>
        <v>0</v>
      </c>
      <c r="W58" s="11">
        <f>IF('INTERACTION-PAGE'!W58="","",'INTERACTION-PAGE'!W58)</f>
        <v>0</v>
      </c>
      <c r="X58" s="11">
        <f>IF('INTERACTION-PAGE'!X58="","",'INTERACTION-PAGE'!X58)</f>
        <v>0</v>
      </c>
      <c r="Y58" s="27">
        <f t="shared" si="3"/>
        <v>64.400000000000006</v>
      </c>
      <c r="Z58" s="27">
        <f t="shared" si="8"/>
        <v>71.666666666666671</v>
      </c>
      <c r="AA58" s="27">
        <f t="shared" si="4"/>
        <v>113.33333333333333</v>
      </c>
      <c r="AB58" s="27">
        <f t="shared" si="5"/>
        <v>48.571428571428569</v>
      </c>
      <c r="AC58" s="27">
        <f t="shared" si="6"/>
        <v>55.555555555555557</v>
      </c>
      <c r="AD58" s="27" t="str">
        <f t="shared" si="7"/>
        <v xml:space="preserve"> </v>
      </c>
      <c r="AE58" s="28">
        <f t="shared" si="9"/>
        <v>72.281746031746025</v>
      </c>
    </row>
    <row r="59" spans="1:31" ht="15" customHeight="1">
      <c r="A59" s="2">
        <v>49</v>
      </c>
      <c r="B59" s="11" t="str">
        <f>IF('INTERACTION-PAGE'!B59="","",'INTERACTION-PAGE'!B59)</f>
        <v>DBD24004</v>
      </c>
      <c r="C59" s="11" t="str">
        <f>IF('INTERACTION-PAGE'!C59="","",'INTERACTION-PAGE'!C59)</f>
        <v>Devnirman Gogoi</v>
      </c>
      <c r="D59" s="11" t="str">
        <f>IF('INTERACTION-PAGE'!D59="","",'INTERACTION-PAGE'!D59)</f>
        <v/>
      </c>
      <c r="E59" s="11">
        <f>IF('INTERACTION-PAGE'!E59="","",'INTERACTION-PAGE'!E59)</f>
        <v>0</v>
      </c>
      <c r="F59" s="11">
        <f>IF('INTERACTION-PAGE'!F59="","",'INTERACTION-PAGE'!F59)</f>
        <v>0</v>
      </c>
      <c r="G59" s="11">
        <f>IF('INTERACTION-PAGE'!G59="","",'INTERACTION-PAGE'!G59)</f>
        <v>11</v>
      </c>
      <c r="H59" s="11">
        <f>IF('INTERACTION-PAGE'!H59="","",'INTERACTION-PAGE'!H59)</f>
        <v>6.5</v>
      </c>
      <c r="I59" s="11">
        <f>IF('INTERACTION-PAGE'!I59="","",'INTERACTION-PAGE'!I59)</f>
        <v>0</v>
      </c>
      <c r="J59" s="11">
        <f>IF('INTERACTION-PAGE'!J59="","",'INTERACTION-PAGE'!J59)</f>
        <v>1.5</v>
      </c>
      <c r="K59" s="11">
        <f>IF('INTERACTION-PAGE'!K59="","",'INTERACTION-PAGE'!K59)</f>
        <v>5</v>
      </c>
      <c r="L59" s="11">
        <f>IF('INTERACTION-PAGE'!L59="","",'INTERACTION-PAGE'!L59)</f>
        <v>6</v>
      </c>
      <c r="M59" s="11">
        <f>IF('INTERACTION-PAGE'!M59="","",'INTERACTION-PAGE'!M59)</f>
        <v>2.5</v>
      </c>
      <c r="N59" s="11">
        <f>IF('INTERACTION-PAGE'!N59="","",'INTERACTION-PAGE'!N59)</f>
        <v>0</v>
      </c>
      <c r="O59" s="11">
        <f>IF('INTERACTION-PAGE'!O59="","",'INTERACTION-PAGE'!O59)</f>
        <v>0</v>
      </c>
      <c r="P59" s="11">
        <f>IF('INTERACTION-PAGE'!P59="","",'INTERACTION-PAGE'!P59)</f>
        <v>0</v>
      </c>
      <c r="Q59" s="11">
        <f>IF('INTERACTION-PAGE'!Q59="","",'INTERACTION-PAGE'!Q59)</f>
        <v>0</v>
      </c>
      <c r="R59" s="11">
        <f>IF('INTERACTION-PAGE'!R59="","",'INTERACTION-PAGE'!R59)</f>
        <v>0</v>
      </c>
      <c r="S59" s="11">
        <f>IF('INTERACTION-PAGE'!S59="","",'INTERACTION-PAGE'!S59)</f>
        <v>0</v>
      </c>
      <c r="T59" s="11">
        <f>IF('INTERACTION-PAGE'!T59="","",'INTERACTION-PAGE'!T59)</f>
        <v>18</v>
      </c>
      <c r="U59" s="11">
        <f>IF('INTERACTION-PAGE'!U59="","",'INTERACTION-PAGE'!U59)</f>
        <v>0</v>
      </c>
      <c r="V59" s="11">
        <f>IF('INTERACTION-PAGE'!V59="","",'INTERACTION-PAGE'!V59)</f>
        <v>0</v>
      </c>
      <c r="W59" s="11">
        <f>IF('INTERACTION-PAGE'!W59="","",'INTERACTION-PAGE'!W59)</f>
        <v>0</v>
      </c>
      <c r="X59" s="11">
        <f>IF('INTERACTION-PAGE'!X59="","",'INTERACTION-PAGE'!X59)</f>
        <v>0</v>
      </c>
      <c r="Y59" s="27">
        <f t="shared" si="3"/>
        <v>40.4</v>
      </c>
      <c r="Z59" s="27">
        <f t="shared" si="8"/>
        <v>65</v>
      </c>
      <c r="AA59" s="27">
        <f t="shared" si="4"/>
        <v>33.333333333333336</v>
      </c>
      <c r="AB59" s="27">
        <f t="shared" si="5"/>
        <v>48.571428571428569</v>
      </c>
      <c r="AC59" s="27">
        <f t="shared" si="6"/>
        <v>20</v>
      </c>
      <c r="AD59" s="27" t="str">
        <f t="shared" si="7"/>
        <v xml:space="preserve"> </v>
      </c>
      <c r="AE59" s="28">
        <f t="shared" si="9"/>
        <v>41.726190476190482</v>
      </c>
    </row>
    <row r="60" spans="1:31" ht="15" customHeight="1">
      <c r="A60" s="3">
        <v>50</v>
      </c>
      <c r="B60" s="11" t="str">
        <f>IF('INTERACTION-PAGE'!B60="","",'INTERACTION-PAGE'!B60)</f>
        <v>DBD24005</v>
      </c>
      <c r="C60" s="11" t="str">
        <f>IF('INTERACTION-PAGE'!C60="","",'INTERACTION-PAGE'!C60)</f>
        <v>Pranjal Bhattacharjee</v>
      </c>
      <c r="D60" s="11" t="str">
        <f>IF('INTERACTION-PAGE'!D60="","",'INTERACTION-PAGE'!D60)</f>
        <v/>
      </c>
      <c r="E60" s="11">
        <f>IF('INTERACTION-PAGE'!E60="","",'INTERACTION-PAGE'!E60)</f>
        <v>0</v>
      </c>
      <c r="F60" s="11">
        <f>IF('INTERACTION-PAGE'!F60="","",'INTERACTION-PAGE'!F60)</f>
        <v>3</v>
      </c>
      <c r="G60" s="11">
        <f>IF('INTERACTION-PAGE'!G60="","",'INTERACTION-PAGE'!G60)</f>
        <v>15</v>
      </c>
      <c r="H60" s="11">
        <f>IF('INTERACTION-PAGE'!H60="","",'INTERACTION-PAGE'!H60)</f>
        <v>31</v>
      </c>
      <c r="I60" s="11">
        <f>IF('INTERACTION-PAGE'!I60="","",'INTERACTION-PAGE'!I60)</f>
        <v>0</v>
      </c>
      <c r="J60" s="11">
        <f>IF('INTERACTION-PAGE'!J60="","",'INTERACTION-PAGE'!J60)</f>
        <v>2.5</v>
      </c>
      <c r="K60" s="11">
        <f>IF('INTERACTION-PAGE'!K60="","",'INTERACTION-PAGE'!K60)</f>
        <v>10</v>
      </c>
      <c r="L60" s="11">
        <f>IF('INTERACTION-PAGE'!L60="","",'INTERACTION-PAGE'!L60)</f>
        <v>9</v>
      </c>
      <c r="M60" s="11">
        <f>IF('INTERACTION-PAGE'!M60="","",'INTERACTION-PAGE'!M60)</f>
        <v>9.5</v>
      </c>
      <c r="N60" s="11">
        <f>IF('INTERACTION-PAGE'!N60="","",'INTERACTION-PAGE'!N60)</f>
        <v>0</v>
      </c>
      <c r="O60" s="11">
        <f>IF('INTERACTION-PAGE'!O60="","",'INTERACTION-PAGE'!O60)</f>
        <v>0</v>
      </c>
      <c r="P60" s="11">
        <f>IF('INTERACTION-PAGE'!P60="","",'INTERACTION-PAGE'!P60)</f>
        <v>0</v>
      </c>
      <c r="Q60" s="11">
        <f>IF('INTERACTION-PAGE'!Q60="","",'INTERACTION-PAGE'!Q60)</f>
        <v>0</v>
      </c>
      <c r="R60" s="11">
        <f>IF('INTERACTION-PAGE'!R60="","",'INTERACTION-PAGE'!R60)</f>
        <v>0</v>
      </c>
      <c r="S60" s="11">
        <f>IF('INTERACTION-PAGE'!S60="","",'INTERACTION-PAGE'!S60)</f>
        <v>0</v>
      </c>
      <c r="T60" s="11">
        <f>IF('INTERACTION-PAGE'!T60="","",'INTERACTION-PAGE'!T60)</f>
        <v>19</v>
      </c>
      <c r="U60" s="11">
        <f>IF('INTERACTION-PAGE'!U60="","",'INTERACTION-PAGE'!U60)</f>
        <v>0</v>
      </c>
      <c r="V60" s="11">
        <f>IF('INTERACTION-PAGE'!V60="","",'INTERACTION-PAGE'!V60)</f>
        <v>0</v>
      </c>
      <c r="W60" s="11">
        <f>IF('INTERACTION-PAGE'!W60="","",'INTERACTION-PAGE'!W60)</f>
        <v>0</v>
      </c>
      <c r="X60" s="11">
        <f>IF('INTERACTION-PAGE'!X60="","",'INTERACTION-PAGE'!X60)</f>
        <v>0</v>
      </c>
      <c r="Y60" s="27">
        <f t="shared" si="3"/>
        <v>79.2</v>
      </c>
      <c r="Z60" s="27">
        <f t="shared" si="8"/>
        <v>71.666666666666671</v>
      </c>
      <c r="AA60" s="27">
        <f t="shared" si="4"/>
        <v>86.666666666666671</v>
      </c>
      <c r="AB60" s="27">
        <f t="shared" si="5"/>
        <v>68.571428571428569</v>
      </c>
      <c r="AC60" s="27">
        <f t="shared" si="6"/>
        <v>90</v>
      </c>
      <c r="AD60" s="27" t="str">
        <f t="shared" si="7"/>
        <v xml:space="preserve"> </v>
      </c>
      <c r="AE60" s="28">
        <f t="shared" si="9"/>
        <v>79.226190476190482</v>
      </c>
    </row>
    <row r="61" spans="1:31" ht="15" customHeight="1">
      <c r="A61" s="2">
        <v>51</v>
      </c>
      <c r="B61" s="11" t="str">
        <f>IF('INTERACTION-PAGE'!B61="","",'INTERACTION-PAGE'!B61)</f>
        <v>DBD24007</v>
      </c>
      <c r="C61" s="11" t="str">
        <f>IF('INTERACTION-PAGE'!C61="","",'INTERACTION-PAGE'!C61)</f>
        <v>Anchita Sharma</v>
      </c>
      <c r="D61" s="11" t="str">
        <f>IF('INTERACTION-PAGE'!D61="","",'INTERACTION-PAGE'!D61)</f>
        <v/>
      </c>
      <c r="E61" s="11">
        <f>IF('INTERACTION-PAGE'!E61="","",'INTERACTION-PAGE'!E61)</f>
        <v>0</v>
      </c>
      <c r="F61" s="11">
        <f>IF('INTERACTION-PAGE'!F61="","",'INTERACTION-PAGE'!F61)</f>
        <v>0</v>
      </c>
      <c r="G61" s="11">
        <f>IF('INTERACTION-PAGE'!G61="","",'INTERACTION-PAGE'!G61)</f>
        <v>14</v>
      </c>
      <c r="H61" s="11">
        <f>IF('INTERACTION-PAGE'!H61="","",'INTERACTION-PAGE'!H61)</f>
        <v>8</v>
      </c>
      <c r="I61" s="11">
        <f>IF('INTERACTION-PAGE'!I61="","",'INTERACTION-PAGE'!I61)</f>
        <v>0</v>
      </c>
      <c r="J61" s="11">
        <f>IF('INTERACTION-PAGE'!J61="","",'INTERACTION-PAGE'!J61)</f>
        <v>2.5</v>
      </c>
      <c r="K61" s="11">
        <f>IF('INTERACTION-PAGE'!K61="","",'INTERACTION-PAGE'!K61)</f>
        <v>6</v>
      </c>
      <c r="L61" s="11">
        <f>IF('INTERACTION-PAGE'!L61="","",'INTERACTION-PAGE'!L61)</f>
        <v>6</v>
      </c>
      <c r="M61" s="11">
        <f>IF('INTERACTION-PAGE'!M61="","",'INTERACTION-PAGE'!M61)</f>
        <v>3.5</v>
      </c>
      <c r="N61" s="11">
        <f>IF('INTERACTION-PAGE'!N61="","",'INTERACTION-PAGE'!N61)</f>
        <v>0</v>
      </c>
      <c r="O61" s="11">
        <f>IF('INTERACTION-PAGE'!O61="","",'INTERACTION-PAGE'!O61)</f>
        <v>0</v>
      </c>
      <c r="P61" s="11">
        <f>IF('INTERACTION-PAGE'!P61="","",'INTERACTION-PAGE'!P61)</f>
        <v>0</v>
      </c>
      <c r="Q61" s="11">
        <f>IF('INTERACTION-PAGE'!Q61="","",'INTERACTION-PAGE'!Q61)</f>
        <v>0</v>
      </c>
      <c r="R61" s="11">
        <f>IF('INTERACTION-PAGE'!R61="","",'INTERACTION-PAGE'!R61)</f>
        <v>0</v>
      </c>
      <c r="S61" s="11">
        <f>IF('INTERACTION-PAGE'!S61="","",'INTERACTION-PAGE'!S61)</f>
        <v>0</v>
      </c>
      <c r="T61" s="11">
        <f>IF('INTERACTION-PAGE'!T61="","",'INTERACTION-PAGE'!T61)</f>
        <v>21</v>
      </c>
      <c r="U61" s="11">
        <f>IF('INTERACTION-PAGE'!U61="","",'INTERACTION-PAGE'!U61)</f>
        <v>0</v>
      </c>
      <c r="V61" s="11">
        <f>IF('INTERACTION-PAGE'!V61="","",'INTERACTION-PAGE'!V61)</f>
        <v>0</v>
      </c>
      <c r="W61" s="11">
        <f>IF('INTERACTION-PAGE'!W61="","",'INTERACTION-PAGE'!W61)</f>
        <v>0</v>
      </c>
      <c r="X61" s="11">
        <f>IF('INTERACTION-PAGE'!X61="","",'INTERACTION-PAGE'!X61)</f>
        <v>0</v>
      </c>
      <c r="Y61" s="27">
        <f t="shared" si="3"/>
        <v>48.8</v>
      </c>
      <c r="Z61" s="27">
        <f t="shared" si="8"/>
        <v>78.333333333333329</v>
      </c>
      <c r="AA61" s="27">
        <f t="shared" si="4"/>
        <v>40</v>
      </c>
      <c r="AB61" s="27">
        <f t="shared" si="5"/>
        <v>57.142857142857146</v>
      </c>
      <c r="AC61" s="27">
        <f t="shared" si="6"/>
        <v>25.555555555555557</v>
      </c>
      <c r="AD61" s="27" t="str">
        <f t="shared" si="7"/>
        <v xml:space="preserve"> </v>
      </c>
      <c r="AE61" s="28">
        <f t="shared" si="9"/>
        <v>50.257936507936506</v>
      </c>
    </row>
    <row r="62" spans="1:31" ht="15" customHeight="1">
      <c r="A62" s="3">
        <v>52</v>
      </c>
      <c r="B62" s="11" t="str">
        <f>IF('INTERACTION-PAGE'!B62="","",'INTERACTION-PAGE'!B62)</f>
        <v>DBD24008</v>
      </c>
      <c r="C62" s="11" t="str">
        <f>IF('INTERACTION-PAGE'!C62="","",'INTERACTION-PAGE'!C62)</f>
        <v>Bavrawee Phukan</v>
      </c>
      <c r="D62" s="11" t="str">
        <f>IF('INTERACTION-PAGE'!D62="","",'INTERACTION-PAGE'!D62)</f>
        <v/>
      </c>
      <c r="E62" s="11">
        <f>IF('INTERACTION-PAGE'!E62="","",'INTERACTION-PAGE'!E62)</f>
        <v>0</v>
      </c>
      <c r="F62" s="11">
        <f>IF('INTERACTION-PAGE'!F62="","",'INTERACTION-PAGE'!F62)</f>
        <v>0</v>
      </c>
      <c r="G62" s="11">
        <f>IF('INTERACTION-PAGE'!G62="","",'INTERACTION-PAGE'!G62)</f>
        <v>6</v>
      </c>
      <c r="H62" s="11">
        <f>IF('INTERACTION-PAGE'!H62="","",'INTERACTION-PAGE'!H62)</f>
        <v>11</v>
      </c>
      <c r="I62" s="11">
        <f>IF('INTERACTION-PAGE'!I62="","",'INTERACTION-PAGE'!I62)</f>
        <v>0</v>
      </c>
      <c r="J62" s="11">
        <f>IF('INTERACTION-PAGE'!J62="","",'INTERACTION-PAGE'!J62)</f>
        <v>0.5</v>
      </c>
      <c r="K62" s="11">
        <f>IF('INTERACTION-PAGE'!K62="","",'INTERACTION-PAGE'!K62)</f>
        <v>3.5</v>
      </c>
      <c r="L62" s="11">
        <f>IF('INTERACTION-PAGE'!L62="","",'INTERACTION-PAGE'!L62)</f>
        <v>5</v>
      </c>
      <c r="M62" s="11">
        <f>IF('INTERACTION-PAGE'!M62="","",'INTERACTION-PAGE'!M62)</f>
        <v>2.5</v>
      </c>
      <c r="N62" s="11">
        <f>IF('INTERACTION-PAGE'!N62="","",'INTERACTION-PAGE'!N62)</f>
        <v>0</v>
      </c>
      <c r="O62" s="11">
        <f>IF('INTERACTION-PAGE'!O62="","",'INTERACTION-PAGE'!O62)</f>
        <v>0</v>
      </c>
      <c r="P62" s="11">
        <f>IF('INTERACTION-PAGE'!P62="","",'INTERACTION-PAGE'!P62)</f>
        <v>0</v>
      </c>
      <c r="Q62" s="11">
        <f>IF('INTERACTION-PAGE'!Q62="","",'INTERACTION-PAGE'!Q62)</f>
        <v>0</v>
      </c>
      <c r="R62" s="11">
        <f>IF('INTERACTION-PAGE'!R62="","",'INTERACTION-PAGE'!R62)</f>
        <v>0</v>
      </c>
      <c r="S62" s="11">
        <f>IF('INTERACTION-PAGE'!S62="","",'INTERACTION-PAGE'!S62)</f>
        <v>0</v>
      </c>
      <c r="T62" s="11">
        <f>IF('INTERACTION-PAGE'!T62="","",'INTERACTION-PAGE'!T62)</f>
        <v>20</v>
      </c>
      <c r="U62" s="11">
        <f>IF('INTERACTION-PAGE'!U62="","",'INTERACTION-PAGE'!U62)</f>
        <v>0</v>
      </c>
      <c r="V62" s="11">
        <f>IF('INTERACTION-PAGE'!V62="","",'INTERACTION-PAGE'!V62)</f>
        <v>0</v>
      </c>
      <c r="W62" s="11">
        <f>IF('INTERACTION-PAGE'!W62="","",'INTERACTION-PAGE'!W62)</f>
        <v>0</v>
      </c>
      <c r="X62" s="11">
        <f>IF('INTERACTION-PAGE'!X62="","",'INTERACTION-PAGE'!X62)</f>
        <v>0</v>
      </c>
      <c r="Y62" s="27">
        <f t="shared" si="3"/>
        <v>38.799999999999997</v>
      </c>
      <c r="Z62" s="27">
        <f t="shared" si="8"/>
        <v>68.333333333333329</v>
      </c>
      <c r="AA62" s="27">
        <f t="shared" si="4"/>
        <v>23.333333333333332</v>
      </c>
      <c r="AB62" s="27">
        <f t="shared" si="5"/>
        <v>31.428571428571427</v>
      </c>
      <c r="AC62" s="27">
        <f t="shared" si="6"/>
        <v>30</v>
      </c>
      <c r="AD62" s="27" t="str">
        <f t="shared" si="7"/>
        <v xml:space="preserve"> </v>
      </c>
      <c r="AE62" s="28">
        <f t="shared" si="9"/>
        <v>38.273809523809518</v>
      </c>
    </row>
    <row r="63" spans="1:31" ht="15" customHeight="1">
      <c r="A63" s="2">
        <v>53</v>
      </c>
      <c r="B63" s="11" t="str">
        <f>IF('INTERACTION-PAGE'!B63="","",'INTERACTION-PAGE'!B63)</f>
        <v>DBD24009</v>
      </c>
      <c r="C63" s="11" t="str">
        <f>IF('INTERACTION-PAGE'!C63="","",'INTERACTION-PAGE'!C63)</f>
        <v>Kritika Talukdar</v>
      </c>
      <c r="D63" s="11" t="str">
        <f>IF('INTERACTION-PAGE'!D63="","",'INTERACTION-PAGE'!D63)</f>
        <v/>
      </c>
      <c r="E63" s="11">
        <f>IF('INTERACTION-PAGE'!E63="","",'INTERACTION-PAGE'!E63)</f>
        <v>0</v>
      </c>
      <c r="F63" s="11">
        <f>IF('INTERACTION-PAGE'!F63="","",'INTERACTION-PAGE'!F63)</f>
        <v>1</v>
      </c>
      <c r="G63" s="11">
        <f>IF('INTERACTION-PAGE'!G63="","",'INTERACTION-PAGE'!G63)</f>
        <v>12</v>
      </c>
      <c r="H63" s="11">
        <f>IF('INTERACTION-PAGE'!H63="","",'INTERACTION-PAGE'!H63)</f>
        <v>5</v>
      </c>
      <c r="I63" s="11">
        <f>IF('INTERACTION-PAGE'!I63="","",'INTERACTION-PAGE'!I63)</f>
        <v>0</v>
      </c>
      <c r="J63" s="11">
        <f>IF('INTERACTION-PAGE'!J63="","",'INTERACTION-PAGE'!J63)</f>
        <v>1</v>
      </c>
      <c r="K63" s="11">
        <f>IF('INTERACTION-PAGE'!K63="","",'INTERACTION-PAGE'!K63)</f>
        <v>10</v>
      </c>
      <c r="L63" s="11">
        <f>IF('INTERACTION-PAGE'!L63="","",'INTERACTION-PAGE'!L63)</f>
        <v>6</v>
      </c>
      <c r="M63" s="11">
        <f>IF('INTERACTION-PAGE'!M63="","",'INTERACTION-PAGE'!M63)</f>
        <v>4.5</v>
      </c>
      <c r="N63" s="11">
        <f>IF('INTERACTION-PAGE'!N63="","",'INTERACTION-PAGE'!N63)</f>
        <v>0</v>
      </c>
      <c r="O63" s="11">
        <f>IF('INTERACTION-PAGE'!O63="","",'INTERACTION-PAGE'!O63)</f>
        <v>0</v>
      </c>
      <c r="P63" s="11">
        <f>IF('INTERACTION-PAGE'!P63="","",'INTERACTION-PAGE'!P63)</f>
        <v>0</v>
      </c>
      <c r="Q63" s="11">
        <f>IF('INTERACTION-PAGE'!Q63="","",'INTERACTION-PAGE'!Q63)</f>
        <v>0</v>
      </c>
      <c r="R63" s="11">
        <f>IF('INTERACTION-PAGE'!R63="","",'INTERACTION-PAGE'!R63)</f>
        <v>0</v>
      </c>
      <c r="S63" s="11">
        <f>IF('INTERACTION-PAGE'!S63="","",'INTERACTION-PAGE'!S63)</f>
        <v>0</v>
      </c>
      <c r="T63" s="11">
        <f>IF('INTERACTION-PAGE'!T63="","",'INTERACTION-PAGE'!T63)</f>
        <v>18</v>
      </c>
      <c r="U63" s="11">
        <f>IF('INTERACTION-PAGE'!U63="","",'INTERACTION-PAGE'!U63)</f>
        <v>0</v>
      </c>
      <c r="V63" s="11">
        <f>IF('INTERACTION-PAGE'!V63="","",'INTERACTION-PAGE'!V63)</f>
        <v>0</v>
      </c>
      <c r="W63" s="11">
        <f>IF('INTERACTION-PAGE'!W63="","",'INTERACTION-PAGE'!W63)</f>
        <v>0</v>
      </c>
      <c r="X63" s="11">
        <f>IF('INTERACTION-PAGE'!X63="","",'INTERACTION-PAGE'!X63)</f>
        <v>0</v>
      </c>
      <c r="Y63" s="27">
        <f t="shared" si="3"/>
        <v>46</v>
      </c>
      <c r="Z63" s="27">
        <f t="shared" si="8"/>
        <v>63.333333333333336</v>
      </c>
      <c r="AA63" s="27">
        <f t="shared" si="4"/>
        <v>73.333333333333329</v>
      </c>
      <c r="AB63" s="27">
        <f t="shared" si="5"/>
        <v>51.428571428571431</v>
      </c>
      <c r="AC63" s="27">
        <f t="shared" si="6"/>
        <v>21.111111111111111</v>
      </c>
      <c r="AD63" s="27" t="str">
        <f t="shared" si="7"/>
        <v xml:space="preserve"> </v>
      </c>
      <c r="AE63" s="28">
        <f t="shared" si="9"/>
        <v>52.301587301587297</v>
      </c>
    </row>
    <row r="64" spans="1:31" ht="15" customHeight="1">
      <c r="A64" s="3">
        <v>54</v>
      </c>
      <c r="B64" s="11" t="str">
        <f>IF('INTERACTION-PAGE'!B64="","",'INTERACTION-PAGE'!B64)</f>
        <v>DBD24010</v>
      </c>
      <c r="C64" s="11" t="str">
        <f>IF('INTERACTION-PAGE'!C64="","",'INTERACTION-PAGE'!C64)</f>
        <v>Lenminthang Singson</v>
      </c>
      <c r="D64" s="11" t="str">
        <f>IF('INTERACTION-PAGE'!D64="","",'INTERACTION-PAGE'!D64)</f>
        <v/>
      </c>
      <c r="E64" s="11">
        <f>IF('INTERACTION-PAGE'!E64="","",'INTERACTION-PAGE'!E64)</f>
        <v>0</v>
      </c>
      <c r="F64" s="11">
        <f>IF('INTERACTION-PAGE'!F64="","",'INTERACTION-PAGE'!F64)</f>
        <v>1</v>
      </c>
      <c r="G64" s="11">
        <f>IF('INTERACTION-PAGE'!G64="","",'INTERACTION-PAGE'!G64)</f>
        <v>9</v>
      </c>
      <c r="H64" s="11">
        <f>IF('INTERACTION-PAGE'!H64="","",'INTERACTION-PAGE'!H64)</f>
        <v>7</v>
      </c>
      <c r="I64" s="11">
        <f>IF('INTERACTION-PAGE'!I64="","",'INTERACTION-PAGE'!I64)</f>
        <v>0</v>
      </c>
      <c r="J64" s="11">
        <f>IF('INTERACTION-PAGE'!J64="","",'INTERACTION-PAGE'!J64)</f>
        <v>0</v>
      </c>
      <c r="K64" s="11">
        <f>IF('INTERACTION-PAGE'!K64="","",'INTERACTION-PAGE'!K64)</f>
        <v>6</v>
      </c>
      <c r="L64" s="11">
        <f>IF('INTERACTION-PAGE'!L64="","",'INTERACTION-PAGE'!L64)</f>
        <v>8</v>
      </c>
      <c r="M64" s="11">
        <f>IF('INTERACTION-PAGE'!M64="","",'INTERACTION-PAGE'!M64)</f>
        <v>7.5</v>
      </c>
      <c r="N64" s="11">
        <f>IF('INTERACTION-PAGE'!N64="","",'INTERACTION-PAGE'!N64)</f>
        <v>0</v>
      </c>
      <c r="O64" s="11">
        <f>IF('INTERACTION-PAGE'!O64="","",'INTERACTION-PAGE'!O64)</f>
        <v>0</v>
      </c>
      <c r="P64" s="11">
        <f>IF('INTERACTION-PAGE'!P64="","",'INTERACTION-PAGE'!P64)</f>
        <v>0</v>
      </c>
      <c r="Q64" s="11">
        <f>IF('INTERACTION-PAGE'!Q64="","",'INTERACTION-PAGE'!Q64)</f>
        <v>0</v>
      </c>
      <c r="R64" s="11">
        <f>IF('INTERACTION-PAGE'!R64="","",'INTERACTION-PAGE'!R64)</f>
        <v>0</v>
      </c>
      <c r="S64" s="11">
        <f>IF('INTERACTION-PAGE'!S64="","",'INTERACTION-PAGE'!S64)</f>
        <v>0</v>
      </c>
      <c r="T64" s="11">
        <f>IF('INTERACTION-PAGE'!T64="","",'INTERACTION-PAGE'!T64)</f>
        <v>19</v>
      </c>
      <c r="U64" s="11">
        <f>IF('INTERACTION-PAGE'!U64="","",'INTERACTION-PAGE'!U64)</f>
        <v>0</v>
      </c>
      <c r="V64" s="11">
        <f>IF('INTERACTION-PAGE'!V64="","",'INTERACTION-PAGE'!V64)</f>
        <v>0</v>
      </c>
      <c r="W64" s="11">
        <f>IF('INTERACTION-PAGE'!W64="","",'INTERACTION-PAGE'!W64)</f>
        <v>0</v>
      </c>
      <c r="X64" s="11">
        <f>IF('INTERACTION-PAGE'!X64="","",'INTERACTION-PAGE'!X64)</f>
        <v>0</v>
      </c>
      <c r="Y64" s="27">
        <f t="shared" si="3"/>
        <v>46</v>
      </c>
      <c r="Z64" s="27">
        <f t="shared" si="8"/>
        <v>63.333333333333336</v>
      </c>
      <c r="AA64" s="27">
        <f t="shared" si="4"/>
        <v>46.666666666666664</v>
      </c>
      <c r="AB64" s="27">
        <f t="shared" si="5"/>
        <v>48.571428571428569</v>
      </c>
      <c r="AC64" s="27">
        <f t="shared" si="6"/>
        <v>32.222222222222221</v>
      </c>
      <c r="AD64" s="27" t="str">
        <f t="shared" si="7"/>
        <v xml:space="preserve"> </v>
      </c>
      <c r="AE64" s="28">
        <f t="shared" si="9"/>
        <v>47.698412698412696</v>
      </c>
    </row>
    <row r="65" spans="1:31" ht="15" customHeight="1">
      <c r="A65" s="2">
        <v>55</v>
      </c>
      <c r="B65" s="11" t="str">
        <f>IF('INTERACTION-PAGE'!B65="","",'INTERACTION-PAGE'!B65)</f>
        <v>DBD24011</v>
      </c>
      <c r="C65" s="11" t="str">
        <f>IF('INTERACTION-PAGE'!C65="","",'INTERACTION-PAGE'!C65)</f>
        <v>Atharv Singha</v>
      </c>
      <c r="D65" s="11" t="str">
        <f>IF('INTERACTION-PAGE'!D65="","",'INTERACTION-PAGE'!D65)</f>
        <v/>
      </c>
      <c r="E65" s="11">
        <f>IF('INTERACTION-PAGE'!E65="","",'INTERACTION-PAGE'!E65)</f>
        <v>0</v>
      </c>
      <c r="F65" s="11">
        <f>IF('INTERACTION-PAGE'!F65="","",'INTERACTION-PAGE'!F65)</f>
        <v>0</v>
      </c>
      <c r="G65" s="11">
        <f>IF('INTERACTION-PAGE'!G65="","",'INTERACTION-PAGE'!G65)</f>
        <v>7</v>
      </c>
      <c r="H65" s="11">
        <f>IF('INTERACTION-PAGE'!H65="","",'INTERACTION-PAGE'!H65)</f>
        <v>4</v>
      </c>
      <c r="I65" s="11">
        <f>IF('INTERACTION-PAGE'!I65="","",'INTERACTION-PAGE'!I65)</f>
        <v>0</v>
      </c>
      <c r="J65" s="11">
        <f>IF('INTERACTION-PAGE'!J65="","",'INTERACTION-PAGE'!J65)</f>
        <v>1</v>
      </c>
      <c r="K65" s="11">
        <f>IF('INTERACTION-PAGE'!K65="","",'INTERACTION-PAGE'!K65)</f>
        <v>0</v>
      </c>
      <c r="L65" s="11">
        <f>IF('INTERACTION-PAGE'!L65="","",'INTERACTION-PAGE'!L65)</f>
        <v>6</v>
      </c>
      <c r="M65" s="11">
        <f>IF('INTERACTION-PAGE'!M65="","",'INTERACTION-PAGE'!M65)</f>
        <v>0</v>
      </c>
      <c r="N65" s="11">
        <f>IF('INTERACTION-PAGE'!N65="","",'INTERACTION-PAGE'!N65)</f>
        <v>0</v>
      </c>
      <c r="O65" s="11">
        <f>IF('INTERACTION-PAGE'!O65="","",'INTERACTION-PAGE'!O65)</f>
        <v>0</v>
      </c>
      <c r="P65" s="11">
        <f>IF('INTERACTION-PAGE'!P65="","",'INTERACTION-PAGE'!P65)</f>
        <v>0</v>
      </c>
      <c r="Q65" s="11">
        <f>IF('INTERACTION-PAGE'!Q65="","",'INTERACTION-PAGE'!Q65)</f>
        <v>0</v>
      </c>
      <c r="R65" s="11">
        <f>IF('INTERACTION-PAGE'!R65="","",'INTERACTION-PAGE'!R65)</f>
        <v>0</v>
      </c>
      <c r="S65" s="11">
        <f>IF('INTERACTION-PAGE'!S65="","",'INTERACTION-PAGE'!S65)</f>
        <v>0</v>
      </c>
      <c r="T65" s="11">
        <f>IF('INTERACTION-PAGE'!T65="","",'INTERACTION-PAGE'!T65)</f>
        <v>17</v>
      </c>
      <c r="U65" s="11">
        <f>IF('INTERACTION-PAGE'!U65="","",'INTERACTION-PAGE'!U65)</f>
        <v>0</v>
      </c>
      <c r="V65" s="11">
        <f>IF('INTERACTION-PAGE'!V65="","",'INTERACTION-PAGE'!V65)</f>
        <v>0</v>
      </c>
      <c r="W65" s="11">
        <f>IF('INTERACTION-PAGE'!W65="","",'INTERACTION-PAGE'!W65)</f>
        <v>0</v>
      </c>
      <c r="X65" s="11">
        <f>IF('INTERACTION-PAGE'!X65="","",'INTERACTION-PAGE'!X65)</f>
        <v>0</v>
      </c>
      <c r="Y65" s="27">
        <f t="shared" si="3"/>
        <v>28</v>
      </c>
      <c r="Z65" s="27">
        <f t="shared" si="8"/>
        <v>60</v>
      </c>
      <c r="AA65" s="27">
        <f t="shared" si="4"/>
        <v>0</v>
      </c>
      <c r="AB65" s="27">
        <f t="shared" si="5"/>
        <v>37.142857142857146</v>
      </c>
      <c r="AC65" s="27">
        <f t="shared" si="6"/>
        <v>8.8888888888888893</v>
      </c>
      <c r="AD65" s="27" t="str">
        <f t="shared" si="7"/>
        <v xml:space="preserve"> </v>
      </c>
      <c r="AE65" s="28">
        <f t="shared" si="9"/>
        <v>26.507936507936506</v>
      </c>
    </row>
    <row r="66" spans="1:31" ht="15" customHeight="1">
      <c r="A66" s="3">
        <v>56</v>
      </c>
      <c r="B66" s="11" t="str">
        <f>IF('INTERACTION-PAGE'!B66="","",'INTERACTION-PAGE'!B66)</f>
        <v>DBD24012</v>
      </c>
      <c r="C66" s="11" t="str">
        <f>IF('INTERACTION-PAGE'!C66="","",'INTERACTION-PAGE'!C66)</f>
        <v>Asha Gohain</v>
      </c>
      <c r="D66" s="11" t="str">
        <f>IF('INTERACTION-PAGE'!D66="","",'INTERACTION-PAGE'!D66)</f>
        <v/>
      </c>
      <c r="E66" s="11">
        <f>IF('INTERACTION-PAGE'!E66="","",'INTERACTION-PAGE'!E66)</f>
        <v>0</v>
      </c>
      <c r="F66" s="11">
        <f>IF('INTERACTION-PAGE'!F66="","",'INTERACTION-PAGE'!F66)</f>
        <v>0</v>
      </c>
      <c r="G66" s="11">
        <f>IF('INTERACTION-PAGE'!G66="","",'INTERACTION-PAGE'!G66)</f>
        <v>7</v>
      </c>
      <c r="H66" s="11">
        <f>IF('INTERACTION-PAGE'!H66="","",'INTERACTION-PAGE'!H66)</f>
        <v>8</v>
      </c>
      <c r="I66" s="11">
        <f>IF('INTERACTION-PAGE'!I66="","",'INTERACTION-PAGE'!I66)</f>
        <v>0</v>
      </c>
      <c r="J66" s="11">
        <f>IF('INTERACTION-PAGE'!J66="","",'INTERACTION-PAGE'!J66)</f>
        <v>0</v>
      </c>
      <c r="K66" s="11">
        <f>IF('INTERACTION-PAGE'!K66="","",'INTERACTION-PAGE'!K66)</f>
        <v>1.5</v>
      </c>
      <c r="L66" s="11">
        <f>IF('INTERACTION-PAGE'!L66="","",'INTERACTION-PAGE'!L66)</f>
        <v>6</v>
      </c>
      <c r="M66" s="11">
        <f>IF('INTERACTION-PAGE'!M66="","",'INTERACTION-PAGE'!M66)</f>
        <v>2</v>
      </c>
      <c r="N66" s="11">
        <f>IF('INTERACTION-PAGE'!N66="","",'INTERACTION-PAGE'!N66)</f>
        <v>0</v>
      </c>
      <c r="O66" s="11">
        <f>IF('INTERACTION-PAGE'!O66="","",'INTERACTION-PAGE'!O66)</f>
        <v>0</v>
      </c>
      <c r="P66" s="11">
        <f>IF('INTERACTION-PAGE'!P66="","",'INTERACTION-PAGE'!P66)</f>
        <v>0</v>
      </c>
      <c r="Q66" s="11">
        <f>IF('INTERACTION-PAGE'!Q66="","",'INTERACTION-PAGE'!Q66)</f>
        <v>0</v>
      </c>
      <c r="R66" s="11">
        <f>IF('INTERACTION-PAGE'!R66="","",'INTERACTION-PAGE'!R66)</f>
        <v>0</v>
      </c>
      <c r="S66" s="11">
        <f>IF('INTERACTION-PAGE'!S66="","",'INTERACTION-PAGE'!S66)</f>
        <v>0</v>
      </c>
      <c r="T66" s="11">
        <f>IF('INTERACTION-PAGE'!T66="","",'INTERACTION-PAGE'!T66)</f>
        <v>18</v>
      </c>
      <c r="U66" s="11">
        <f>IF('INTERACTION-PAGE'!U66="","",'INTERACTION-PAGE'!U66)</f>
        <v>0</v>
      </c>
      <c r="V66" s="11">
        <f>IF('INTERACTION-PAGE'!V66="","",'INTERACTION-PAGE'!V66)</f>
        <v>0</v>
      </c>
      <c r="W66" s="11">
        <f>IF('INTERACTION-PAGE'!W66="","",'INTERACTION-PAGE'!W66)</f>
        <v>0</v>
      </c>
      <c r="X66" s="11">
        <f>IF('INTERACTION-PAGE'!X66="","",'INTERACTION-PAGE'!X66)</f>
        <v>0</v>
      </c>
      <c r="Y66" s="27">
        <f t="shared" si="3"/>
        <v>34</v>
      </c>
      <c r="Z66" s="27">
        <f t="shared" si="8"/>
        <v>60</v>
      </c>
      <c r="AA66" s="27">
        <f t="shared" si="4"/>
        <v>10</v>
      </c>
      <c r="AB66" s="27">
        <f t="shared" si="5"/>
        <v>37.142857142857146</v>
      </c>
      <c r="AC66" s="27">
        <f t="shared" si="6"/>
        <v>22.222222222222221</v>
      </c>
      <c r="AD66" s="27" t="str">
        <f t="shared" si="7"/>
        <v xml:space="preserve"> </v>
      </c>
      <c r="AE66" s="28">
        <f t="shared" si="9"/>
        <v>32.341269841269842</v>
      </c>
    </row>
    <row r="67" spans="1:31" ht="15" customHeight="1">
      <c r="A67" s="2">
        <v>57</v>
      </c>
      <c r="B67" s="11" t="str">
        <f>IF('INTERACTION-PAGE'!B67="","",'INTERACTION-PAGE'!B67)</f>
        <v>DBD24014</v>
      </c>
      <c r="C67" s="11" t="str">
        <f>IF('INTERACTION-PAGE'!C67="","",'INTERACTION-PAGE'!C67)</f>
        <v>Chandrima Borah</v>
      </c>
      <c r="D67" s="11" t="str">
        <f>IF('INTERACTION-PAGE'!D67="","",'INTERACTION-PAGE'!D67)</f>
        <v/>
      </c>
      <c r="E67" s="11">
        <f>IF('INTERACTION-PAGE'!E67="","",'INTERACTION-PAGE'!E67)</f>
        <v>0</v>
      </c>
      <c r="F67" s="11">
        <f>IF('INTERACTION-PAGE'!F67="","",'INTERACTION-PAGE'!F67)</f>
        <v>0</v>
      </c>
      <c r="G67" s="11">
        <f>IF('INTERACTION-PAGE'!G67="","",'INTERACTION-PAGE'!G67)</f>
        <v>10</v>
      </c>
      <c r="H67" s="11">
        <f>IF('INTERACTION-PAGE'!H67="","",'INTERACTION-PAGE'!H67)</f>
        <v>13</v>
      </c>
      <c r="I67" s="11">
        <f>IF('INTERACTION-PAGE'!I67="","",'INTERACTION-PAGE'!I67)</f>
        <v>0</v>
      </c>
      <c r="J67" s="11">
        <f>IF('INTERACTION-PAGE'!J67="","",'INTERACTION-PAGE'!J67)</f>
        <v>4.5</v>
      </c>
      <c r="K67" s="11">
        <f>IF('INTERACTION-PAGE'!K67="","",'INTERACTION-PAGE'!K67)</f>
        <v>6.5</v>
      </c>
      <c r="L67" s="11">
        <f>IF('INTERACTION-PAGE'!L67="","",'INTERACTION-PAGE'!L67)</f>
        <v>7</v>
      </c>
      <c r="M67" s="11">
        <f>IF('INTERACTION-PAGE'!M67="","",'INTERACTION-PAGE'!M67)</f>
        <v>3</v>
      </c>
      <c r="N67" s="11">
        <f>IF('INTERACTION-PAGE'!N67="","",'INTERACTION-PAGE'!N67)</f>
        <v>0</v>
      </c>
      <c r="O67" s="11">
        <f>IF('INTERACTION-PAGE'!O67="","",'INTERACTION-PAGE'!O67)</f>
        <v>0</v>
      </c>
      <c r="P67" s="11">
        <f>IF('INTERACTION-PAGE'!P67="","",'INTERACTION-PAGE'!P67)</f>
        <v>0</v>
      </c>
      <c r="Q67" s="11">
        <f>IF('INTERACTION-PAGE'!Q67="","",'INTERACTION-PAGE'!Q67)</f>
        <v>0</v>
      </c>
      <c r="R67" s="11">
        <f>IF('INTERACTION-PAGE'!R67="","",'INTERACTION-PAGE'!R67)</f>
        <v>0</v>
      </c>
      <c r="S67" s="11">
        <f>IF('INTERACTION-PAGE'!S67="","",'INTERACTION-PAGE'!S67)</f>
        <v>0</v>
      </c>
      <c r="T67" s="11">
        <f>IF('INTERACTION-PAGE'!T67="","",'INTERACTION-PAGE'!T67)</f>
        <v>20</v>
      </c>
      <c r="U67" s="11">
        <f>IF('INTERACTION-PAGE'!U67="","",'INTERACTION-PAGE'!U67)</f>
        <v>0</v>
      </c>
      <c r="V67" s="11">
        <f>IF('INTERACTION-PAGE'!V67="","",'INTERACTION-PAGE'!V67)</f>
        <v>0</v>
      </c>
      <c r="W67" s="11">
        <f>IF('INTERACTION-PAGE'!W67="","",'INTERACTION-PAGE'!W67)</f>
        <v>0</v>
      </c>
      <c r="X67" s="11">
        <f>IF('INTERACTION-PAGE'!X67="","",'INTERACTION-PAGE'!X67)</f>
        <v>0</v>
      </c>
      <c r="Y67" s="27">
        <f t="shared" si="3"/>
        <v>51.2</v>
      </c>
      <c r="Z67" s="27">
        <f t="shared" si="8"/>
        <v>81.666666666666671</v>
      </c>
      <c r="AA67" s="27">
        <f t="shared" si="4"/>
        <v>43.333333333333336</v>
      </c>
      <c r="AB67" s="27">
        <f t="shared" si="5"/>
        <v>48.571428571428569</v>
      </c>
      <c r="AC67" s="27">
        <f t="shared" si="6"/>
        <v>35.555555555555557</v>
      </c>
      <c r="AD67" s="27" t="str">
        <f t="shared" si="7"/>
        <v xml:space="preserve"> </v>
      </c>
      <c r="AE67" s="28">
        <f t="shared" si="9"/>
        <v>52.281746031746025</v>
      </c>
    </row>
    <row r="68" spans="1:31" ht="15" customHeight="1">
      <c r="A68" s="3">
        <v>58</v>
      </c>
      <c r="B68" s="11" t="str">
        <f>IF('INTERACTION-PAGE'!B68="","",'INTERACTION-PAGE'!B68)</f>
        <v>DBD24015</v>
      </c>
      <c r="C68" s="11" t="str">
        <f>IF('INTERACTION-PAGE'!C68="","",'INTERACTION-PAGE'!C68)</f>
        <v>Dipti Chetry</v>
      </c>
      <c r="D68" s="11" t="str">
        <f>IF('INTERACTION-PAGE'!D68="","",'INTERACTION-PAGE'!D68)</f>
        <v/>
      </c>
      <c r="E68" s="11">
        <f>IF('INTERACTION-PAGE'!E68="","",'INTERACTION-PAGE'!E68)</f>
        <v>0</v>
      </c>
      <c r="F68" s="11">
        <f>IF('INTERACTION-PAGE'!F68="","",'INTERACTION-PAGE'!F68)</f>
        <v>0</v>
      </c>
      <c r="G68" s="11">
        <f>IF('INTERACTION-PAGE'!G68="","",'INTERACTION-PAGE'!G68)</f>
        <v>11</v>
      </c>
      <c r="H68" s="11">
        <f>IF('INTERACTION-PAGE'!H68="","",'INTERACTION-PAGE'!H68)</f>
        <v>10</v>
      </c>
      <c r="I68" s="11">
        <f>IF('INTERACTION-PAGE'!I68="","",'INTERACTION-PAGE'!I68)</f>
        <v>0</v>
      </c>
      <c r="J68" s="11">
        <f>IF('INTERACTION-PAGE'!J68="","",'INTERACTION-PAGE'!J68)</f>
        <v>0.5</v>
      </c>
      <c r="K68" s="11">
        <f>IF('INTERACTION-PAGE'!K68="","",'INTERACTION-PAGE'!K68)</f>
        <v>2.5</v>
      </c>
      <c r="L68" s="11">
        <f>IF('INTERACTION-PAGE'!L68="","",'INTERACTION-PAGE'!L68)</f>
        <v>5</v>
      </c>
      <c r="M68" s="11">
        <f>IF('INTERACTION-PAGE'!M68="","",'INTERACTION-PAGE'!M68)</f>
        <v>1</v>
      </c>
      <c r="N68" s="11">
        <f>IF('INTERACTION-PAGE'!N68="","",'INTERACTION-PAGE'!N68)</f>
        <v>0</v>
      </c>
      <c r="O68" s="11">
        <f>IF('INTERACTION-PAGE'!O68="","",'INTERACTION-PAGE'!O68)</f>
        <v>0</v>
      </c>
      <c r="P68" s="11">
        <f>IF('INTERACTION-PAGE'!P68="","",'INTERACTION-PAGE'!P68)</f>
        <v>0</v>
      </c>
      <c r="Q68" s="11">
        <f>IF('INTERACTION-PAGE'!Q68="","",'INTERACTION-PAGE'!Q68)</f>
        <v>0</v>
      </c>
      <c r="R68" s="11">
        <f>IF('INTERACTION-PAGE'!R68="","",'INTERACTION-PAGE'!R68)</f>
        <v>0</v>
      </c>
      <c r="S68" s="11">
        <f>IF('INTERACTION-PAGE'!S68="","",'INTERACTION-PAGE'!S68)</f>
        <v>0</v>
      </c>
      <c r="T68" s="11">
        <f>IF('INTERACTION-PAGE'!T68="","",'INTERACTION-PAGE'!T68)</f>
        <v>19</v>
      </c>
      <c r="U68" s="11">
        <f>IF('INTERACTION-PAGE'!U68="","",'INTERACTION-PAGE'!U68)</f>
        <v>0</v>
      </c>
      <c r="V68" s="11">
        <f>IF('INTERACTION-PAGE'!V68="","",'INTERACTION-PAGE'!V68)</f>
        <v>0</v>
      </c>
      <c r="W68" s="11">
        <f>IF('INTERACTION-PAGE'!W68="","",'INTERACTION-PAGE'!W68)</f>
        <v>0</v>
      </c>
      <c r="X68" s="11">
        <f>IF('INTERACTION-PAGE'!X68="","",'INTERACTION-PAGE'!X68)</f>
        <v>0</v>
      </c>
      <c r="Y68" s="27">
        <f t="shared" si="3"/>
        <v>39.200000000000003</v>
      </c>
      <c r="Z68" s="27">
        <f t="shared" si="8"/>
        <v>65</v>
      </c>
      <c r="AA68" s="27">
        <f t="shared" si="4"/>
        <v>16.666666666666668</v>
      </c>
      <c r="AB68" s="27">
        <f t="shared" si="5"/>
        <v>45.714285714285715</v>
      </c>
      <c r="AC68" s="27">
        <f t="shared" si="6"/>
        <v>24.444444444444443</v>
      </c>
      <c r="AD68" s="27" t="str">
        <f t="shared" si="7"/>
        <v xml:space="preserve"> </v>
      </c>
      <c r="AE68" s="28">
        <f t="shared" si="9"/>
        <v>37.956349206349202</v>
      </c>
    </row>
    <row r="69" spans="1:31" ht="15" customHeight="1">
      <c r="A69" s="2">
        <v>59</v>
      </c>
      <c r="B69" s="11" t="str">
        <f>IF('INTERACTION-PAGE'!B69="","",'INTERACTION-PAGE'!B69)</f>
        <v>DBD24017</v>
      </c>
      <c r="C69" s="11" t="str">
        <f>IF('INTERACTION-PAGE'!C69="","",'INTERACTION-PAGE'!C69)</f>
        <v>Raju Mahato</v>
      </c>
      <c r="D69" s="11" t="str">
        <f>IF('INTERACTION-PAGE'!D69="","",'INTERACTION-PAGE'!D69)</f>
        <v/>
      </c>
      <c r="E69" s="11">
        <f>IF('INTERACTION-PAGE'!E69="","",'INTERACTION-PAGE'!E69)</f>
        <v>0</v>
      </c>
      <c r="F69" s="11">
        <f>IF('INTERACTION-PAGE'!F69="","",'INTERACTION-PAGE'!F69)</f>
        <v>0</v>
      </c>
      <c r="G69" s="11">
        <f>IF('INTERACTION-PAGE'!G69="","",'INTERACTION-PAGE'!G69)</f>
        <v>10</v>
      </c>
      <c r="H69" s="11">
        <f>IF('INTERACTION-PAGE'!H69="","",'INTERACTION-PAGE'!H69)</f>
        <v>5</v>
      </c>
      <c r="I69" s="11">
        <f>IF('INTERACTION-PAGE'!I69="","",'INTERACTION-PAGE'!I69)</f>
        <v>0</v>
      </c>
      <c r="J69" s="11">
        <f>IF('INTERACTION-PAGE'!J69="","",'INTERACTION-PAGE'!J69)</f>
        <v>1</v>
      </c>
      <c r="K69" s="11">
        <f>IF('INTERACTION-PAGE'!K69="","",'INTERACTION-PAGE'!K69)</f>
        <v>2</v>
      </c>
      <c r="L69" s="11">
        <f>IF('INTERACTION-PAGE'!L69="","",'INTERACTION-PAGE'!L69)</f>
        <v>7</v>
      </c>
      <c r="M69" s="11">
        <f>IF('INTERACTION-PAGE'!M69="","",'INTERACTION-PAGE'!M69)</f>
        <v>2.5</v>
      </c>
      <c r="N69" s="11">
        <f>IF('INTERACTION-PAGE'!N69="","",'INTERACTION-PAGE'!N69)</f>
        <v>0</v>
      </c>
      <c r="O69" s="11">
        <f>IF('INTERACTION-PAGE'!O69="","",'INTERACTION-PAGE'!O69)</f>
        <v>0</v>
      </c>
      <c r="P69" s="11">
        <f>IF('INTERACTION-PAGE'!P69="","",'INTERACTION-PAGE'!P69)</f>
        <v>0</v>
      </c>
      <c r="Q69" s="11">
        <f>IF('INTERACTION-PAGE'!Q69="","",'INTERACTION-PAGE'!Q69)</f>
        <v>0</v>
      </c>
      <c r="R69" s="11">
        <f>IF('INTERACTION-PAGE'!R69="","",'INTERACTION-PAGE'!R69)</f>
        <v>0</v>
      </c>
      <c r="S69" s="11">
        <f>IF('INTERACTION-PAGE'!S69="","",'INTERACTION-PAGE'!S69)</f>
        <v>0</v>
      </c>
      <c r="T69" s="11">
        <f>IF('INTERACTION-PAGE'!T69="","",'INTERACTION-PAGE'!T69)</f>
        <v>19</v>
      </c>
      <c r="U69" s="11">
        <f>IF('INTERACTION-PAGE'!U69="","",'INTERACTION-PAGE'!U69)</f>
        <v>0</v>
      </c>
      <c r="V69" s="11">
        <f>IF('INTERACTION-PAGE'!V69="","",'INTERACTION-PAGE'!V69)</f>
        <v>0</v>
      </c>
      <c r="W69" s="11">
        <f>IF('INTERACTION-PAGE'!W69="","",'INTERACTION-PAGE'!W69)</f>
        <v>0</v>
      </c>
      <c r="X69" s="11">
        <f>IF('INTERACTION-PAGE'!X69="","",'INTERACTION-PAGE'!X69)</f>
        <v>0</v>
      </c>
      <c r="Y69" s="27">
        <f t="shared" si="3"/>
        <v>37.200000000000003</v>
      </c>
      <c r="Z69" s="27">
        <f t="shared" si="8"/>
        <v>66.666666666666671</v>
      </c>
      <c r="AA69" s="27">
        <f t="shared" si="4"/>
        <v>13.333333333333334</v>
      </c>
      <c r="AB69" s="27">
        <f t="shared" si="5"/>
        <v>48.571428571428569</v>
      </c>
      <c r="AC69" s="27">
        <f t="shared" si="6"/>
        <v>16.666666666666668</v>
      </c>
      <c r="AD69" s="27" t="str">
        <f t="shared" si="7"/>
        <v xml:space="preserve"> </v>
      </c>
      <c r="AE69" s="28">
        <f t="shared" si="9"/>
        <v>36.309523809523803</v>
      </c>
    </row>
    <row r="70" spans="1:31" ht="15" customHeight="1">
      <c r="A70" s="3">
        <v>60</v>
      </c>
      <c r="B70" s="11" t="str">
        <f>IF('INTERACTION-PAGE'!B70="","",'INTERACTION-PAGE'!B70)</f>
        <v>DBD24018</v>
      </c>
      <c r="C70" s="11" t="str">
        <f>IF('INTERACTION-PAGE'!C70="","",'INTERACTION-PAGE'!C70)</f>
        <v>Sneha Gogoi</v>
      </c>
      <c r="D70" s="11" t="str">
        <f>IF('INTERACTION-PAGE'!D70="","",'INTERACTION-PAGE'!D70)</f>
        <v/>
      </c>
      <c r="E70" s="11">
        <f>IF('INTERACTION-PAGE'!E70="","",'INTERACTION-PAGE'!E70)</f>
        <v>0</v>
      </c>
      <c r="F70" s="11">
        <f>IF('INTERACTION-PAGE'!F70="","",'INTERACTION-PAGE'!F70)</f>
        <v>0</v>
      </c>
      <c r="G70" s="11">
        <f>IF('INTERACTION-PAGE'!G70="","",'INTERACTION-PAGE'!G70)</f>
        <v>7</v>
      </c>
      <c r="H70" s="11">
        <f>IF('INTERACTION-PAGE'!H70="","",'INTERACTION-PAGE'!H70)</f>
        <v>3.5</v>
      </c>
      <c r="I70" s="11">
        <f>IF('INTERACTION-PAGE'!I70="","",'INTERACTION-PAGE'!I70)</f>
        <v>0</v>
      </c>
      <c r="J70" s="11">
        <f>IF('INTERACTION-PAGE'!J70="","",'INTERACTION-PAGE'!J70)</f>
        <v>2</v>
      </c>
      <c r="K70" s="11">
        <f>IF('INTERACTION-PAGE'!K70="","",'INTERACTION-PAGE'!K70)</f>
        <v>1</v>
      </c>
      <c r="L70" s="11">
        <f>IF('INTERACTION-PAGE'!L70="","",'INTERACTION-PAGE'!L70)</f>
        <v>4.5</v>
      </c>
      <c r="M70" s="11">
        <f>IF('INTERACTION-PAGE'!M70="","",'INTERACTION-PAGE'!M70)</f>
        <v>2.5</v>
      </c>
      <c r="N70" s="11">
        <f>IF('INTERACTION-PAGE'!N70="","",'INTERACTION-PAGE'!N70)</f>
        <v>0</v>
      </c>
      <c r="O70" s="11">
        <f>IF('INTERACTION-PAGE'!O70="","",'INTERACTION-PAGE'!O70)</f>
        <v>0</v>
      </c>
      <c r="P70" s="11">
        <f>IF('INTERACTION-PAGE'!P70="","",'INTERACTION-PAGE'!P70)</f>
        <v>0</v>
      </c>
      <c r="Q70" s="11">
        <f>IF('INTERACTION-PAGE'!Q70="","",'INTERACTION-PAGE'!Q70)</f>
        <v>0</v>
      </c>
      <c r="R70" s="11">
        <f>IF('INTERACTION-PAGE'!R70="","",'INTERACTION-PAGE'!R70)</f>
        <v>0</v>
      </c>
      <c r="S70" s="11">
        <f>IF('INTERACTION-PAGE'!S70="","",'INTERACTION-PAGE'!S70)</f>
        <v>0</v>
      </c>
      <c r="T70" s="11">
        <f>IF('INTERACTION-PAGE'!T70="","",'INTERACTION-PAGE'!T70)</f>
        <v>20</v>
      </c>
      <c r="U70" s="11">
        <f>IF('INTERACTION-PAGE'!U70="","",'INTERACTION-PAGE'!U70)</f>
        <v>0</v>
      </c>
      <c r="V70" s="11">
        <f>IF('INTERACTION-PAGE'!V70="","",'INTERACTION-PAGE'!V70)</f>
        <v>0</v>
      </c>
      <c r="W70" s="11">
        <f>IF('INTERACTION-PAGE'!W70="","",'INTERACTION-PAGE'!W70)</f>
        <v>0</v>
      </c>
      <c r="X70" s="11">
        <f>IF('INTERACTION-PAGE'!X70="","",'INTERACTION-PAGE'!X70)</f>
        <v>0</v>
      </c>
      <c r="Y70" s="27">
        <f t="shared" si="3"/>
        <v>32.4</v>
      </c>
      <c r="Z70" s="27">
        <f t="shared" si="8"/>
        <v>73.333333333333329</v>
      </c>
      <c r="AA70" s="27">
        <f t="shared" si="4"/>
        <v>6.666666666666667</v>
      </c>
      <c r="AB70" s="27">
        <f t="shared" si="5"/>
        <v>32.857142857142854</v>
      </c>
      <c r="AC70" s="27">
        <f t="shared" si="6"/>
        <v>13.333333333333334</v>
      </c>
      <c r="AD70" s="27" t="str">
        <f t="shared" si="7"/>
        <v xml:space="preserve"> </v>
      </c>
      <c r="AE70" s="28">
        <f t="shared" si="9"/>
        <v>31.547619047619047</v>
      </c>
    </row>
    <row r="71" spans="1:31" ht="15" customHeight="1">
      <c r="A71" s="2">
        <v>61</v>
      </c>
      <c r="B71" s="11" t="str">
        <f>IF('INTERACTION-PAGE'!B71="","",'INTERACTION-PAGE'!B71)</f>
        <v>DBD24019</v>
      </c>
      <c r="C71" s="11" t="str">
        <f>IF('INTERACTION-PAGE'!C71="","",'INTERACTION-PAGE'!C71)</f>
        <v>Prantik Nath</v>
      </c>
      <c r="D71" s="11" t="str">
        <f>IF('INTERACTION-PAGE'!D71="","",'INTERACTION-PAGE'!D71)</f>
        <v/>
      </c>
      <c r="E71" s="11">
        <f>IF('INTERACTION-PAGE'!E71="","",'INTERACTION-PAGE'!E71)</f>
        <v>0</v>
      </c>
      <c r="F71" s="11">
        <f>IF('INTERACTION-PAGE'!F71="","",'INTERACTION-PAGE'!F71)</f>
        <v>0</v>
      </c>
      <c r="G71" s="11">
        <f>IF('INTERACTION-PAGE'!G71="","",'INTERACTION-PAGE'!G71)</f>
        <v>7</v>
      </c>
      <c r="H71" s="11">
        <f>IF('INTERACTION-PAGE'!H71="","",'INTERACTION-PAGE'!H71)</f>
        <v>4.5</v>
      </c>
      <c r="I71" s="11">
        <f>IF('INTERACTION-PAGE'!I71="","",'INTERACTION-PAGE'!I71)</f>
        <v>0</v>
      </c>
      <c r="J71" s="11">
        <f>IF('INTERACTION-PAGE'!J71="","",'INTERACTION-PAGE'!J71)</f>
        <v>2.5</v>
      </c>
      <c r="K71" s="11">
        <f>IF('INTERACTION-PAGE'!K71="","",'INTERACTION-PAGE'!K71)</f>
        <v>1.5</v>
      </c>
      <c r="L71" s="11">
        <f>IF('INTERACTION-PAGE'!L71="","",'INTERACTION-PAGE'!L71)</f>
        <v>5</v>
      </c>
      <c r="M71" s="11">
        <f>IF('INTERACTION-PAGE'!M71="","",'INTERACTION-PAGE'!M71)</f>
        <v>2</v>
      </c>
      <c r="N71" s="11">
        <f>IF('INTERACTION-PAGE'!N71="","",'INTERACTION-PAGE'!N71)</f>
        <v>0</v>
      </c>
      <c r="O71" s="11">
        <f>IF('INTERACTION-PAGE'!O71="","",'INTERACTION-PAGE'!O71)</f>
        <v>0</v>
      </c>
      <c r="P71" s="11">
        <f>IF('INTERACTION-PAGE'!P71="","",'INTERACTION-PAGE'!P71)</f>
        <v>0</v>
      </c>
      <c r="Q71" s="11">
        <f>IF('INTERACTION-PAGE'!Q71="","",'INTERACTION-PAGE'!Q71)</f>
        <v>0</v>
      </c>
      <c r="R71" s="11">
        <f>IF('INTERACTION-PAGE'!R71="","",'INTERACTION-PAGE'!R71)</f>
        <v>0</v>
      </c>
      <c r="S71" s="11">
        <f>IF('INTERACTION-PAGE'!S71="","",'INTERACTION-PAGE'!S71)</f>
        <v>0</v>
      </c>
      <c r="T71" s="11">
        <f>IF('INTERACTION-PAGE'!T71="","",'INTERACTION-PAGE'!T71)</f>
        <v>15</v>
      </c>
      <c r="U71" s="11">
        <f>IF('INTERACTION-PAGE'!U71="","",'INTERACTION-PAGE'!U71)</f>
        <v>0</v>
      </c>
      <c r="V71" s="11">
        <f>IF('INTERACTION-PAGE'!V71="","",'INTERACTION-PAGE'!V71)</f>
        <v>0</v>
      </c>
      <c r="W71" s="11">
        <f>IF('INTERACTION-PAGE'!W71="","",'INTERACTION-PAGE'!W71)</f>
        <v>0</v>
      </c>
      <c r="X71" s="11">
        <f>IF('INTERACTION-PAGE'!X71="","",'INTERACTION-PAGE'!X71)</f>
        <v>0</v>
      </c>
      <c r="Y71" s="27">
        <f t="shared" si="3"/>
        <v>30</v>
      </c>
      <c r="Z71" s="27">
        <f t="shared" si="8"/>
        <v>58.333333333333336</v>
      </c>
      <c r="AA71" s="27">
        <f t="shared" si="4"/>
        <v>10</v>
      </c>
      <c r="AB71" s="27">
        <f t="shared" si="5"/>
        <v>34.285714285714285</v>
      </c>
      <c r="AC71" s="27">
        <f t="shared" si="6"/>
        <v>14.444444444444445</v>
      </c>
      <c r="AD71" s="27" t="str">
        <f t="shared" si="7"/>
        <v xml:space="preserve"> </v>
      </c>
      <c r="AE71" s="28">
        <f t="shared" si="9"/>
        <v>29.265873015873016</v>
      </c>
    </row>
    <row r="72" spans="1:31" ht="15" customHeight="1">
      <c r="A72" s="3">
        <v>62</v>
      </c>
      <c r="B72" s="11" t="str">
        <f>IF('INTERACTION-PAGE'!B72="","",'INTERACTION-PAGE'!B72)</f>
        <v>DBD24020</v>
      </c>
      <c r="C72" s="11" t="str">
        <f>IF('INTERACTION-PAGE'!C72="","",'INTERACTION-PAGE'!C72)</f>
        <v>Ragini K Hazarika</v>
      </c>
      <c r="D72" s="11" t="str">
        <f>IF('INTERACTION-PAGE'!D72="","",'INTERACTION-PAGE'!D72)</f>
        <v/>
      </c>
      <c r="E72" s="11">
        <f>IF('INTERACTION-PAGE'!E72="","",'INTERACTION-PAGE'!E72)</f>
        <v>0</v>
      </c>
      <c r="F72" s="11">
        <f>IF('INTERACTION-PAGE'!F72="","",'INTERACTION-PAGE'!F72)</f>
        <v>5</v>
      </c>
      <c r="G72" s="11">
        <f>IF('INTERACTION-PAGE'!G72="","",'INTERACTION-PAGE'!G72)</f>
        <v>12</v>
      </c>
      <c r="H72" s="11">
        <f>IF('INTERACTION-PAGE'!H72="","",'INTERACTION-PAGE'!H72)</f>
        <v>7</v>
      </c>
      <c r="I72" s="11">
        <f>IF('INTERACTION-PAGE'!I72="","",'INTERACTION-PAGE'!I72)</f>
        <v>0</v>
      </c>
      <c r="J72" s="11">
        <f>IF('INTERACTION-PAGE'!J72="","",'INTERACTION-PAGE'!J72)</f>
        <v>4.5</v>
      </c>
      <c r="K72" s="11">
        <f>IF('INTERACTION-PAGE'!K72="","",'INTERACTION-PAGE'!K72)</f>
        <v>9</v>
      </c>
      <c r="L72" s="11">
        <f>IF('INTERACTION-PAGE'!L72="","",'INTERACTION-PAGE'!L72)</f>
        <v>8</v>
      </c>
      <c r="M72" s="11">
        <f>IF('INTERACTION-PAGE'!M72="","",'INTERACTION-PAGE'!M72)</f>
        <v>6.5</v>
      </c>
      <c r="N72" s="11">
        <f>IF('INTERACTION-PAGE'!N72="","",'INTERACTION-PAGE'!N72)</f>
        <v>0</v>
      </c>
      <c r="O72" s="11">
        <f>IF('INTERACTION-PAGE'!O72="","",'INTERACTION-PAGE'!O72)</f>
        <v>0</v>
      </c>
      <c r="P72" s="11">
        <f>IF('INTERACTION-PAGE'!P72="","",'INTERACTION-PAGE'!P72)</f>
        <v>0</v>
      </c>
      <c r="Q72" s="11">
        <f>IF('INTERACTION-PAGE'!Q72="","",'INTERACTION-PAGE'!Q72)</f>
        <v>0</v>
      </c>
      <c r="R72" s="11">
        <f>IF('INTERACTION-PAGE'!R72="","",'INTERACTION-PAGE'!R72)</f>
        <v>0</v>
      </c>
      <c r="S72" s="11">
        <f>IF('INTERACTION-PAGE'!S72="","",'INTERACTION-PAGE'!S72)</f>
        <v>0</v>
      </c>
      <c r="T72" s="11">
        <f>IF('INTERACTION-PAGE'!T72="","",'INTERACTION-PAGE'!T72)</f>
        <v>19</v>
      </c>
      <c r="U72" s="11">
        <f>IF('INTERACTION-PAGE'!U72="","",'INTERACTION-PAGE'!U72)</f>
        <v>0</v>
      </c>
      <c r="V72" s="11">
        <f>IF('INTERACTION-PAGE'!V72="","",'INTERACTION-PAGE'!V72)</f>
        <v>0</v>
      </c>
      <c r="W72" s="11">
        <f>IF('INTERACTION-PAGE'!W72="","",'INTERACTION-PAGE'!W72)</f>
        <v>0</v>
      </c>
      <c r="X72" s="11">
        <f>IF('INTERACTION-PAGE'!X72="","",'INTERACTION-PAGE'!X72)</f>
        <v>0</v>
      </c>
      <c r="Y72" s="27">
        <f t="shared" si="3"/>
        <v>56.8</v>
      </c>
      <c r="Z72" s="27">
        <f t="shared" si="8"/>
        <v>78.333333333333329</v>
      </c>
      <c r="AA72" s="27">
        <f t="shared" si="4"/>
        <v>93.333333333333329</v>
      </c>
      <c r="AB72" s="27">
        <f t="shared" si="5"/>
        <v>57.142857142857146</v>
      </c>
      <c r="AC72" s="27">
        <f t="shared" si="6"/>
        <v>30</v>
      </c>
      <c r="AD72" s="27" t="str">
        <f t="shared" si="7"/>
        <v xml:space="preserve"> </v>
      </c>
      <c r="AE72" s="28">
        <f t="shared" si="9"/>
        <v>64.702380952380949</v>
      </c>
    </row>
    <row r="73" spans="1:31" ht="15" customHeight="1">
      <c r="A73" s="2">
        <v>63</v>
      </c>
      <c r="B73" s="11" t="str">
        <f>IF('INTERACTION-PAGE'!B73="","",'INTERACTION-PAGE'!B73)</f>
        <v>DBD24021</v>
      </c>
      <c r="C73" s="11" t="str">
        <f>IF('INTERACTION-PAGE'!C73="","",'INTERACTION-PAGE'!C73)</f>
        <v>Bhaskar Barman</v>
      </c>
      <c r="D73" s="11" t="str">
        <f>IF('INTERACTION-PAGE'!D73="","",'INTERACTION-PAGE'!D73)</f>
        <v/>
      </c>
      <c r="E73" s="11">
        <f>IF('INTERACTION-PAGE'!E73="","",'INTERACTION-PAGE'!E73)</f>
        <v>0</v>
      </c>
      <c r="F73" s="11">
        <f>IF('INTERACTION-PAGE'!F73="","",'INTERACTION-PAGE'!F73)</f>
        <v>0</v>
      </c>
      <c r="G73" s="11">
        <f>IF('INTERACTION-PAGE'!G73="","",'INTERACTION-PAGE'!G73)</f>
        <v>9</v>
      </c>
      <c r="H73" s="11">
        <f>IF('INTERACTION-PAGE'!H73="","",'INTERACTION-PAGE'!H73)</f>
        <v>4</v>
      </c>
      <c r="I73" s="11">
        <f>IF('INTERACTION-PAGE'!I73="","",'INTERACTION-PAGE'!I73)</f>
        <v>0</v>
      </c>
      <c r="J73" s="11">
        <f>IF('INTERACTION-PAGE'!J73="","",'INTERACTION-PAGE'!J73)</f>
        <v>1</v>
      </c>
      <c r="K73" s="11">
        <f>IF('INTERACTION-PAGE'!K73="","",'INTERACTION-PAGE'!K73)</f>
        <v>4.5</v>
      </c>
      <c r="L73" s="11">
        <f>IF('INTERACTION-PAGE'!L73="","",'INTERACTION-PAGE'!L73)</f>
        <v>6</v>
      </c>
      <c r="M73" s="11">
        <f>IF('INTERACTION-PAGE'!M73="","",'INTERACTION-PAGE'!M73)</f>
        <v>5.5</v>
      </c>
      <c r="N73" s="11">
        <f>IF('INTERACTION-PAGE'!N73="","",'INTERACTION-PAGE'!N73)</f>
        <v>0</v>
      </c>
      <c r="O73" s="11">
        <f>IF('INTERACTION-PAGE'!O73="","",'INTERACTION-PAGE'!O73)</f>
        <v>0</v>
      </c>
      <c r="P73" s="11">
        <f>IF('INTERACTION-PAGE'!P73="","",'INTERACTION-PAGE'!P73)</f>
        <v>0</v>
      </c>
      <c r="Q73" s="11">
        <f>IF('INTERACTION-PAGE'!Q73="","",'INTERACTION-PAGE'!Q73)</f>
        <v>0</v>
      </c>
      <c r="R73" s="11">
        <f>IF('INTERACTION-PAGE'!R73="","",'INTERACTION-PAGE'!R73)</f>
        <v>0</v>
      </c>
      <c r="S73" s="11">
        <f>IF('INTERACTION-PAGE'!S73="","",'INTERACTION-PAGE'!S73)</f>
        <v>0</v>
      </c>
      <c r="T73" s="11">
        <f>IF('INTERACTION-PAGE'!T73="","",'INTERACTION-PAGE'!T73)</f>
        <v>18</v>
      </c>
      <c r="U73" s="11">
        <f>IF('INTERACTION-PAGE'!U73="","",'INTERACTION-PAGE'!U73)</f>
        <v>0</v>
      </c>
      <c r="V73" s="11">
        <f>IF('INTERACTION-PAGE'!V73="","",'INTERACTION-PAGE'!V73)</f>
        <v>0</v>
      </c>
      <c r="W73" s="11">
        <f>IF('INTERACTION-PAGE'!W73="","",'INTERACTION-PAGE'!W73)</f>
        <v>0</v>
      </c>
      <c r="X73" s="11">
        <f>IF('INTERACTION-PAGE'!X73="","",'INTERACTION-PAGE'!X73)</f>
        <v>0</v>
      </c>
      <c r="Y73" s="27">
        <f t="shared" si="3"/>
        <v>38.4</v>
      </c>
      <c r="Z73" s="27">
        <f t="shared" si="8"/>
        <v>63.333333333333336</v>
      </c>
      <c r="AA73" s="27">
        <f t="shared" si="4"/>
        <v>30</v>
      </c>
      <c r="AB73" s="27">
        <f t="shared" si="5"/>
        <v>42.857142857142854</v>
      </c>
      <c r="AC73" s="27">
        <f t="shared" si="6"/>
        <v>21.111111111111111</v>
      </c>
      <c r="AD73" s="27" t="str">
        <f t="shared" si="7"/>
        <v xml:space="preserve"> </v>
      </c>
      <c r="AE73" s="28">
        <f t="shared" si="9"/>
        <v>39.32539682539683</v>
      </c>
    </row>
    <row r="74" spans="1:31" ht="15" customHeight="1">
      <c r="A74" s="3">
        <v>64</v>
      </c>
      <c r="B74" s="11" t="str">
        <f>IF('INTERACTION-PAGE'!B74="","",'INTERACTION-PAGE'!B74)</f>
        <v>DBD24022</v>
      </c>
      <c r="C74" s="11" t="str">
        <f>IF('INTERACTION-PAGE'!C74="","",'INTERACTION-PAGE'!C74)</f>
        <v>Tarininath Payeng</v>
      </c>
      <c r="D74" s="11" t="str">
        <f>IF('INTERACTION-PAGE'!D74="","",'INTERACTION-PAGE'!D74)</f>
        <v/>
      </c>
      <c r="E74" s="11">
        <f>IF('INTERACTION-PAGE'!E74="","",'INTERACTION-PAGE'!E74)</f>
        <v>0</v>
      </c>
      <c r="F74" s="11">
        <f>IF('INTERACTION-PAGE'!F74="","",'INTERACTION-PAGE'!F74)</f>
        <v>0</v>
      </c>
      <c r="G74" s="11">
        <f>IF('INTERACTION-PAGE'!G74="","",'INTERACTION-PAGE'!G74)</f>
        <v>9</v>
      </c>
      <c r="H74" s="11">
        <f>IF('INTERACTION-PAGE'!H74="","",'INTERACTION-PAGE'!H74)</f>
        <v>14</v>
      </c>
      <c r="I74" s="11">
        <f>IF('INTERACTION-PAGE'!I74="","",'INTERACTION-PAGE'!I74)</f>
        <v>0</v>
      </c>
      <c r="J74" s="11">
        <f>IF('INTERACTION-PAGE'!J74="","",'INTERACTION-PAGE'!J74)</f>
        <v>4</v>
      </c>
      <c r="K74" s="11">
        <f>IF('INTERACTION-PAGE'!K74="","",'INTERACTION-PAGE'!K74)</f>
        <v>6</v>
      </c>
      <c r="L74" s="11">
        <f>IF('INTERACTION-PAGE'!L74="","",'INTERACTION-PAGE'!L74)</f>
        <v>6</v>
      </c>
      <c r="M74" s="11">
        <f>IF('INTERACTION-PAGE'!M74="","",'INTERACTION-PAGE'!M74)</f>
        <v>7.5</v>
      </c>
      <c r="N74" s="11">
        <f>IF('INTERACTION-PAGE'!N74="","",'INTERACTION-PAGE'!N74)</f>
        <v>0</v>
      </c>
      <c r="O74" s="11">
        <f>IF('INTERACTION-PAGE'!O74="","",'INTERACTION-PAGE'!O74)</f>
        <v>0</v>
      </c>
      <c r="P74" s="11">
        <f>IF('INTERACTION-PAGE'!P74="","",'INTERACTION-PAGE'!P74)</f>
        <v>0</v>
      </c>
      <c r="Q74" s="11">
        <f>IF('INTERACTION-PAGE'!Q74="","",'INTERACTION-PAGE'!Q74)</f>
        <v>0</v>
      </c>
      <c r="R74" s="11">
        <f>IF('INTERACTION-PAGE'!R74="","",'INTERACTION-PAGE'!R74)</f>
        <v>0</v>
      </c>
      <c r="S74" s="11">
        <f>IF('INTERACTION-PAGE'!S74="","",'INTERACTION-PAGE'!S74)</f>
        <v>0</v>
      </c>
      <c r="T74" s="11">
        <f>IF('INTERACTION-PAGE'!T74="","",'INTERACTION-PAGE'!T74)</f>
        <v>22</v>
      </c>
      <c r="U74" s="11">
        <f>IF('INTERACTION-PAGE'!U74="","",'INTERACTION-PAGE'!U74)</f>
        <v>0</v>
      </c>
      <c r="V74" s="11">
        <f>IF('INTERACTION-PAGE'!V74="","",'INTERACTION-PAGE'!V74)</f>
        <v>0</v>
      </c>
      <c r="W74" s="11">
        <f>IF('INTERACTION-PAGE'!W74="","",'INTERACTION-PAGE'!W74)</f>
        <v>0</v>
      </c>
      <c r="X74" s="11">
        <f>IF('INTERACTION-PAGE'!X74="","",'INTERACTION-PAGE'!X74)</f>
        <v>0</v>
      </c>
      <c r="Y74" s="27">
        <f t="shared" si="3"/>
        <v>54.8</v>
      </c>
      <c r="Z74" s="27">
        <f t="shared" si="8"/>
        <v>86.666666666666671</v>
      </c>
      <c r="AA74" s="27">
        <f t="shared" si="4"/>
        <v>40</v>
      </c>
      <c r="AB74" s="27">
        <f t="shared" si="5"/>
        <v>42.857142857142854</v>
      </c>
      <c r="AC74" s="27">
        <f t="shared" si="6"/>
        <v>47.777777777777779</v>
      </c>
      <c r="AD74" s="27" t="str">
        <f t="shared" si="7"/>
        <v xml:space="preserve"> </v>
      </c>
      <c r="AE74" s="28">
        <f t="shared" si="9"/>
        <v>54.325396825396822</v>
      </c>
    </row>
    <row r="75" spans="1:31" ht="15" customHeight="1">
      <c r="A75" s="2">
        <v>65</v>
      </c>
      <c r="B75" s="11" t="str">
        <f>IF('INTERACTION-PAGE'!B75="","",'INTERACTION-PAGE'!B75)</f>
        <v>DBD24023</v>
      </c>
      <c r="C75" s="11" t="str">
        <f>IF('INTERACTION-PAGE'!C75="","",'INTERACTION-PAGE'!C75)</f>
        <v>Ronak Kumar</v>
      </c>
      <c r="D75" s="11" t="str">
        <f>IF('INTERACTION-PAGE'!D75="","",'INTERACTION-PAGE'!D75)</f>
        <v/>
      </c>
      <c r="E75" s="11">
        <f>IF('INTERACTION-PAGE'!E75="","",'INTERACTION-PAGE'!E75)</f>
        <v>0</v>
      </c>
      <c r="F75" s="11">
        <f>IF('INTERACTION-PAGE'!F75="","",'INTERACTION-PAGE'!F75)</f>
        <v>1</v>
      </c>
      <c r="G75" s="11">
        <f>IF('INTERACTION-PAGE'!G75="","",'INTERACTION-PAGE'!G75)</f>
        <v>6</v>
      </c>
      <c r="H75" s="11">
        <f>IF('INTERACTION-PAGE'!H75="","",'INTERACTION-PAGE'!H75)</f>
        <v>1</v>
      </c>
      <c r="I75" s="11">
        <f>IF('INTERACTION-PAGE'!I75="","",'INTERACTION-PAGE'!I75)</f>
        <v>0</v>
      </c>
      <c r="J75" s="11">
        <f>IF('INTERACTION-PAGE'!J75="","",'INTERACTION-PAGE'!J75)</f>
        <v>3.5</v>
      </c>
      <c r="K75" s="11">
        <f>IF('INTERACTION-PAGE'!K75="","",'INTERACTION-PAGE'!K75)</f>
        <v>10</v>
      </c>
      <c r="L75" s="11">
        <f>IF('INTERACTION-PAGE'!L75="","",'INTERACTION-PAGE'!L75)</f>
        <v>9</v>
      </c>
      <c r="M75" s="11">
        <f>IF('INTERACTION-PAGE'!M75="","",'INTERACTION-PAGE'!M75)</f>
        <v>3</v>
      </c>
      <c r="N75" s="11">
        <f>IF('INTERACTION-PAGE'!N75="","",'INTERACTION-PAGE'!N75)</f>
        <v>0</v>
      </c>
      <c r="O75" s="11">
        <f>IF('INTERACTION-PAGE'!O75="","",'INTERACTION-PAGE'!O75)</f>
        <v>0</v>
      </c>
      <c r="P75" s="11">
        <f>IF('INTERACTION-PAGE'!P75="","",'INTERACTION-PAGE'!P75)</f>
        <v>0</v>
      </c>
      <c r="Q75" s="11">
        <f>IF('INTERACTION-PAGE'!Q75="","",'INTERACTION-PAGE'!Q75)</f>
        <v>0</v>
      </c>
      <c r="R75" s="11">
        <f>IF('INTERACTION-PAGE'!R75="","",'INTERACTION-PAGE'!R75)</f>
        <v>0</v>
      </c>
      <c r="S75" s="11">
        <f>IF('INTERACTION-PAGE'!S75="","",'INTERACTION-PAGE'!S75)</f>
        <v>0</v>
      </c>
      <c r="T75" s="11">
        <f>IF('INTERACTION-PAGE'!T75="","",'INTERACTION-PAGE'!T75)</f>
        <v>23</v>
      </c>
      <c r="U75" s="11">
        <f>IF('INTERACTION-PAGE'!U75="","",'INTERACTION-PAGE'!U75)</f>
        <v>0</v>
      </c>
      <c r="V75" s="11">
        <f>IF('INTERACTION-PAGE'!V75="","",'INTERACTION-PAGE'!V75)</f>
        <v>0</v>
      </c>
      <c r="W75" s="11">
        <f>IF('INTERACTION-PAGE'!W75="","",'INTERACTION-PAGE'!W75)</f>
        <v>0</v>
      </c>
      <c r="X75" s="11">
        <f>IF('INTERACTION-PAGE'!X75="","",'INTERACTION-PAGE'!X75)</f>
        <v>0</v>
      </c>
      <c r="Y75" s="27">
        <f t="shared" si="3"/>
        <v>45.2</v>
      </c>
      <c r="Z75" s="27">
        <f t="shared" si="8"/>
        <v>88.333333333333329</v>
      </c>
      <c r="AA75" s="27">
        <f t="shared" si="4"/>
        <v>73.333333333333329</v>
      </c>
      <c r="AB75" s="27">
        <f t="shared" si="5"/>
        <v>42.857142857142854</v>
      </c>
      <c r="AC75" s="27">
        <f t="shared" si="6"/>
        <v>8.8888888888888893</v>
      </c>
      <c r="AD75" s="27" t="str">
        <f t="shared" si="7"/>
        <v xml:space="preserve"> </v>
      </c>
      <c r="AE75" s="28">
        <f t="shared" ref="AE75:AE106" si="10">IF(C75="","",IFERROR(AVERAGE(Z75:AD75),""))</f>
        <v>53.353174603174601</v>
      </c>
    </row>
    <row r="76" spans="1:31" ht="15" customHeight="1">
      <c r="A76" s="3">
        <v>66</v>
      </c>
      <c r="B76" s="11" t="str">
        <f>IF('INTERACTION-PAGE'!B76="","",'INTERACTION-PAGE'!B76)</f>
        <v>DBD24024</v>
      </c>
      <c r="C76" s="11" t="str">
        <f>IF('INTERACTION-PAGE'!C76="","",'INTERACTION-PAGE'!C76)</f>
        <v>Konna Sriram</v>
      </c>
      <c r="D76" s="11" t="str">
        <f>IF('INTERACTION-PAGE'!D76="","",'INTERACTION-PAGE'!D76)</f>
        <v/>
      </c>
      <c r="E76" s="11">
        <f>IF('INTERACTION-PAGE'!E76="","",'INTERACTION-PAGE'!E76)</f>
        <v>0</v>
      </c>
      <c r="F76" s="11">
        <f>IF('INTERACTION-PAGE'!F76="","",'INTERACTION-PAGE'!F76)</f>
        <v>0</v>
      </c>
      <c r="G76" s="11">
        <f>IF('INTERACTION-PAGE'!G76="","",'INTERACTION-PAGE'!G76)</f>
        <v>7</v>
      </c>
      <c r="H76" s="11">
        <f>IF('INTERACTION-PAGE'!H76="","",'INTERACTION-PAGE'!H76)</f>
        <v>3.5</v>
      </c>
      <c r="I76" s="11">
        <f>IF('INTERACTION-PAGE'!I76="","",'INTERACTION-PAGE'!I76)</f>
        <v>0</v>
      </c>
      <c r="J76" s="11">
        <f>IF('INTERACTION-PAGE'!J76="","",'INTERACTION-PAGE'!J76)</f>
        <v>0.5</v>
      </c>
      <c r="K76" s="11">
        <f>IF('INTERACTION-PAGE'!K76="","",'INTERACTION-PAGE'!K76)</f>
        <v>5.5</v>
      </c>
      <c r="L76" s="11">
        <f>IF('INTERACTION-PAGE'!L76="","",'INTERACTION-PAGE'!L76)</f>
        <v>6</v>
      </c>
      <c r="M76" s="11">
        <f>IF('INTERACTION-PAGE'!M76="","",'INTERACTION-PAGE'!M76)</f>
        <v>1</v>
      </c>
      <c r="N76" s="11">
        <f>IF('INTERACTION-PAGE'!N76="","",'INTERACTION-PAGE'!N76)</f>
        <v>0</v>
      </c>
      <c r="O76" s="11">
        <f>IF('INTERACTION-PAGE'!O76="","",'INTERACTION-PAGE'!O76)</f>
        <v>0</v>
      </c>
      <c r="P76" s="11">
        <f>IF('INTERACTION-PAGE'!P76="","",'INTERACTION-PAGE'!P76)</f>
        <v>0</v>
      </c>
      <c r="Q76" s="11">
        <f>IF('INTERACTION-PAGE'!Q76="","",'INTERACTION-PAGE'!Q76)</f>
        <v>0</v>
      </c>
      <c r="R76" s="11">
        <f>IF('INTERACTION-PAGE'!R76="","",'INTERACTION-PAGE'!R76)</f>
        <v>0</v>
      </c>
      <c r="S76" s="11">
        <f>IF('INTERACTION-PAGE'!S76="","",'INTERACTION-PAGE'!S76)</f>
        <v>0</v>
      </c>
      <c r="T76" s="11">
        <f>IF('INTERACTION-PAGE'!T76="","",'INTERACTION-PAGE'!T76)</f>
        <v>16</v>
      </c>
      <c r="U76" s="11">
        <f>IF('INTERACTION-PAGE'!U76="","",'INTERACTION-PAGE'!U76)</f>
        <v>0</v>
      </c>
      <c r="V76" s="11">
        <f>IF('INTERACTION-PAGE'!V76="","",'INTERACTION-PAGE'!V76)</f>
        <v>0</v>
      </c>
      <c r="W76" s="11">
        <f>IF('INTERACTION-PAGE'!W76="","",'INTERACTION-PAGE'!W76)</f>
        <v>0</v>
      </c>
      <c r="X76" s="11">
        <f>IF('INTERACTION-PAGE'!X76="","",'INTERACTION-PAGE'!X76)</f>
        <v>0</v>
      </c>
      <c r="Y76" s="27">
        <f t="shared" ref="Y76:Y130" si="11">IF(OR( $B76="", $B76="AB", $B76="UR", $C76="", $C76="AB", $C76="UR", $D76="AB", $D76="UR"),"",(IF(OR(I$8&gt;0,N$8&gt;0,S$8&gt;0,X$8&gt;0),(100*SUM(E76:X76)/(I$8+N$8+S$8+X$8))," ")))</f>
        <v>31.6</v>
      </c>
      <c r="Z76" s="27">
        <f t="shared" ref="Z76:Z130" si="12">IF(OR( $B76="", $B76="AB", $B76="UR", $C76="", $C76="AB", $C76="UR", $D76="AB", $D76="UR"),"",(IF(OR(E$10&gt;0,J$10&gt;0,O$10&gt;0,T$10&gt;0),(Z$10*(IF(AND(E$10&gt;0), IF(OR(E76="", E76="AB",E76="UR"),0,E76),0) +IF(AND(J$10&gt;0), IF(OR(J76="",J76="AB",J76=""),0,J76),0)+IF(AND(O$10&gt;0), IF(OR(O76="", O76="AB",O76="UR"),0,O76),0)+IF(AND(T$10&gt;0), IF(OR(T76="",T76="AB",T76="UR"),0,T76),0))/(E$10+J$10+O$10+T$10))," ")))</f>
        <v>55</v>
      </c>
      <c r="AA76" s="27">
        <f t="shared" ref="AA76:AA130" si="13">IF(OR( $B76="", $B76="AB", $B76="UR", $C76="", $C76="AB", $C76="UR", $D76="AB", $D76="UR"),"",(IF(OR(F$10&gt;0,K$10&gt;0,P$10&gt;0,U$10&gt;0),(AA$10*(IF(AND(F$10&gt;0), IF(OR(F76="", F76="AB",F76="UR"),0,F76),0) +IF(AND(K$10&gt;0), IF(OR(K76="",K76="AB",K76=""),0,K76),0)+IF(AND(P$10&gt;0), IF(OR(P76="", P76="AB",P76="UR"),0,P76),0)+IF(AND(U$10&gt;0), IF(OR(U76="",U76="AB",U76="UR"),0,U76),0))/(F$10+K$10+P$10+U$10))," ")))</f>
        <v>36.666666666666664</v>
      </c>
      <c r="AB76" s="27">
        <f t="shared" ref="AB76:AB130" si="14">IF(OR( $B76="", $B76="AB", $B76="UR", $C76="", $C76="AB", $C76="UR", $D76="AB", $D76="UR"),"",(IF(OR(G$10&gt;0,L$10&gt;0,Q$10&gt;0,V$10&gt;0),(AB$10*(IF(AND(G$10&gt;0), IF(OR(G76="", G76="AB",G76="UR"),0,G76),0) +IF(AND(L$10&gt;0), IF(OR(L76="",L76="AB",L76=""),0,L76),0)+IF(AND(Q$10&gt;0), IF(OR(Q76="", Q76="AB",Q76="UR"),0,Q76),0)+IF(AND(V$10&gt;0), IF(OR(V76="",V76="AB",V76="UR"),0,V76),0))/(G$10+L$10+Q$10+V$10))," ")))</f>
        <v>37.142857142857146</v>
      </c>
      <c r="AC76" s="27">
        <f t="shared" ref="AC76:AC130" si="15">IF(OR( $B76="", $B76="AB", $B76="UR", $C76="", $C76="AB", $C76="UR", $D76="AB", $D76="UR"),"",(IF(OR(H$10&gt;0,M$10&gt;0,R$10&gt;0,W$10&gt;0),(AC$10*(IF(AND(H$10&gt;0), IF(OR(H76="", H76="AB",H76="UR"),0,H76),0) +IF(AND(M$10&gt;0), IF(OR(M76="",M76="AB",M76=""),0,M76),0)+IF(AND(R$10&gt;0), IF(OR(R76="", R76="AB",R76="UR"),0,R76),0)+IF(AND(W$10&gt;0), IF(OR(W76="",W76="AB",W76="UR"),0,W76),0))/(H$10+M$10+R$10+W$10))," ")))</f>
        <v>10</v>
      </c>
      <c r="AD76" s="27" t="str">
        <f t="shared" ref="AD76:AD130" si="16">IF(OR( $B76="", $B76="AB", $B76="UR", $C76="", $C76="AB", $C76="UR", $D76="AB", $D76="UR"),"",(IF(OR(I$10&gt;0,N$10&gt;0,S$10&gt;0,X$10&gt;0),(AD$10*(IF(AND(I$10&gt;0), IF(OR(I76="", I76="AB",I76="UR"),0,I76),0) +IF(AND(N$10&gt;0), IF(OR(N76="",N76="AB",N76=""),0,N76),0)+IF(AND(S$10&gt;0), IF(OR(S76="", S76="AB",S76="UR"),0,S76),0)+IF(AND(X$10&gt;0), IF(OR(X76="",X76="AB",X76="UR"),0,X76),0))/(I$10+N$10+S$10+X$10))," ")))</f>
        <v xml:space="preserve"> </v>
      </c>
      <c r="AE76" s="28">
        <f t="shared" si="10"/>
        <v>34.702380952380949</v>
      </c>
    </row>
    <row r="77" spans="1:31" ht="15" customHeight="1">
      <c r="A77" s="2">
        <v>67</v>
      </c>
      <c r="B77" s="11" t="str">
        <f>IF('INTERACTION-PAGE'!B77="","",'INTERACTION-PAGE'!B77)</f>
        <v>DBD24025</v>
      </c>
      <c r="C77" s="11" t="str">
        <f>IF('INTERACTION-PAGE'!C77="","",'INTERACTION-PAGE'!C77)</f>
        <v>Bhargob Jyoti Talukdar</v>
      </c>
      <c r="D77" s="11" t="str">
        <f>IF('INTERACTION-PAGE'!D77="","",'INTERACTION-PAGE'!D77)</f>
        <v/>
      </c>
      <c r="E77" s="11">
        <f>IF('INTERACTION-PAGE'!E77="","",'INTERACTION-PAGE'!E77)</f>
        <v>0</v>
      </c>
      <c r="F77" s="11">
        <f>IF('INTERACTION-PAGE'!F77="","",'INTERACTION-PAGE'!F77)</f>
        <v>0</v>
      </c>
      <c r="G77" s="11">
        <f>IF('INTERACTION-PAGE'!G77="","",'INTERACTION-PAGE'!G77)</f>
        <v>12</v>
      </c>
      <c r="H77" s="11">
        <f>IF('INTERACTION-PAGE'!H77="","",'INTERACTION-PAGE'!H77)</f>
        <v>9</v>
      </c>
      <c r="I77" s="11">
        <f>IF('INTERACTION-PAGE'!I77="","",'INTERACTION-PAGE'!I77)</f>
        <v>0</v>
      </c>
      <c r="J77" s="11">
        <f>IF('INTERACTION-PAGE'!J77="","",'INTERACTION-PAGE'!J77)</f>
        <v>4</v>
      </c>
      <c r="K77" s="11">
        <f>IF('INTERACTION-PAGE'!K77="","",'INTERACTION-PAGE'!K77)</f>
        <v>8</v>
      </c>
      <c r="L77" s="11">
        <f>IF('INTERACTION-PAGE'!L77="","",'INTERACTION-PAGE'!L77)</f>
        <v>6</v>
      </c>
      <c r="M77" s="11">
        <f>IF('INTERACTION-PAGE'!M77="","",'INTERACTION-PAGE'!M77)</f>
        <v>0</v>
      </c>
      <c r="N77" s="11">
        <f>IF('INTERACTION-PAGE'!N77="","",'INTERACTION-PAGE'!N77)</f>
        <v>0</v>
      </c>
      <c r="O77" s="11">
        <f>IF('INTERACTION-PAGE'!O77="","",'INTERACTION-PAGE'!O77)</f>
        <v>0</v>
      </c>
      <c r="P77" s="11">
        <f>IF('INTERACTION-PAGE'!P77="","",'INTERACTION-PAGE'!P77)</f>
        <v>0</v>
      </c>
      <c r="Q77" s="11">
        <f>IF('INTERACTION-PAGE'!Q77="","",'INTERACTION-PAGE'!Q77)</f>
        <v>0</v>
      </c>
      <c r="R77" s="11">
        <f>IF('INTERACTION-PAGE'!R77="","",'INTERACTION-PAGE'!R77)</f>
        <v>0</v>
      </c>
      <c r="S77" s="11">
        <f>IF('INTERACTION-PAGE'!S77="","",'INTERACTION-PAGE'!S77)</f>
        <v>0</v>
      </c>
      <c r="T77" s="11">
        <f>IF('INTERACTION-PAGE'!T77="","",'INTERACTION-PAGE'!T77)</f>
        <v>20</v>
      </c>
      <c r="U77" s="11">
        <f>IF('INTERACTION-PAGE'!U77="","",'INTERACTION-PAGE'!U77)</f>
        <v>0</v>
      </c>
      <c r="V77" s="11">
        <f>IF('INTERACTION-PAGE'!V77="","",'INTERACTION-PAGE'!V77)</f>
        <v>0</v>
      </c>
      <c r="W77" s="11">
        <f>IF('INTERACTION-PAGE'!W77="","",'INTERACTION-PAGE'!W77)</f>
        <v>0</v>
      </c>
      <c r="X77" s="11">
        <f>IF('INTERACTION-PAGE'!X77="","",'INTERACTION-PAGE'!X77)</f>
        <v>0</v>
      </c>
      <c r="Y77" s="27">
        <f t="shared" si="11"/>
        <v>47.2</v>
      </c>
      <c r="Z77" s="27">
        <f t="shared" si="12"/>
        <v>80</v>
      </c>
      <c r="AA77" s="27">
        <f t="shared" si="13"/>
        <v>53.333333333333336</v>
      </c>
      <c r="AB77" s="27">
        <f t="shared" si="14"/>
        <v>51.428571428571431</v>
      </c>
      <c r="AC77" s="27">
        <f t="shared" si="15"/>
        <v>20</v>
      </c>
      <c r="AD77" s="27" t="str">
        <f t="shared" si="16"/>
        <v xml:space="preserve"> </v>
      </c>
      <c r="AE77" s="28">
        <f t="shared" si="10"/>
        <v>51.19047619047619</v>
      </c>
    </row>
    <row r="78" spans="1:31" ht="15" customHeight="1">
      <c r="A78" s="3">
        <v>68</v>
      </c>
      <c r="B78" s="11" t="str">
        <f>IF('INTERACTION-PAGE'!B78="","",'INTERACTION-PAGE'!B78)</f>
        <v>DBD24026</v>
      </c>
      <c r="C78" s="11" t="str">
        <f>IF('INTERACTION-PAGE'!C78="","",'INTERACTION-PAGE'!C78)</f>
        <v>Ishani Rajkhowa</v>
      </c>
      <c r="D78" s="11" t="str">
        <f>IF('INTERACTION-PAGE'!D78="","",'INTERACTION-PAGE'!D78)</f>
        <v/>
      </c>
      <c r="E78" s="11">
        <f>IF('INTERACTION-PAGE'!E78="","",'INTERACTION-PAGE'!E78)</f>
        <v>0</v>
      </c>
      <c r="F78" s="11">
        <f>IF('INTERACTION-PAGE'!F78="","",'INTERACTION-PAGE'!F78)</f>
        <v>0</v>
      </c>
      <c r="G78" s="11">
        <f>IF('INTERACTION-PAGE'!G78="","",'INTERACTION-PAGE'!G78)</f>
        <v>11</v>
      </c>
      <c r="H78" s="11">
        <f>IF('INTERACTION-PAGE'!H78="","",'INTERACTION-PAGE'!H78)</f>
        <v>7</v>
      </c>
      <c r="I78" s="11">
        <f>IF('INTERACTION-PAGE'!I78="","",'INTERACTION-PAGE'!I78)</f>
        <v>0</v>
      </c>
      <c r="J78" s="11">
        <f>IF('INTERACTION-PAGE'!J78="","",'INTERACTION-PAGE'!J78)</f>
        <v>1.5</v>
      </c>
      <c r="K78" s="11">
        <f>IF('INTERACTION-PAGE'!K78="","",'INTERACTION-PAGE'!K78)</f>
        <v>7.5</v>
      </c>
      <c r="L78" s="11">
        <f>IF('INTERACTION-PAGE'!L78="","",'INTERACTION-PAGE'!L78)</f>
        <v>5</v>
      </c>
      <c r="M78" s="11">
        <f>IF('INTERACTION-PAGE'!M78="","",'INTERACTION-PAGE'!M78)</f>
        <v>3.5</v>
      </c>
      <c r="N78" s="11">
        <f>IF('INTERACTION-PAGE'!N78="","",'INTERACTION-PAGE'!N78)</f>
        <v>0</v>
      </c>
      <c r="O78" s="11">
        <f>IF('INTERACTION-PAGE'!O78="","",'INTERACTION-PAGE'!O78)</f>
        <v>0</v>
      </c>
      <c r="P78" s="11">
        <f>IF('INTERACTION-PAGE'!P78="","",'INTERACTION-PAGE'!P78)</f>
        <v>0</v>
      </c>
      <c r="Q78" s="11">
        <f>IF('INTERACTION-PAGE'!Q78="","",'INTERACTION-PAGE'!Q78)</f>
        <v>0</v>
      </c>
      <c r="R78" s="11">
        <f>IF('INTERACTION-PAGE'!R78="","",'INTERACTION-PAGE'!R78)</f>
        <v>0</v>
      </c>
      <c r="S78" s="11">
        <f>IF('INTERACTION-PAGE'!S78="","",'INTERACTION-PAGE'!S78)</f>
        <v>0</v>
      </c>
      <c r="T78" s="11">
        <f>IF('INTERACTION-PAGE'!T78="","",'INTERACTION-PAGE'!T78)</f>
        <v>22</v>
      </c>
      <c r="U78" s="11">
        <f>IF('INTERACTION-PAGE'!U78="","",'INTERACTION-PAGE'!U78)</f>
        <v>0</v>
      </c>
      <c r="V78" s="11">
        <f>IF('INTERACTION-PAGE'!V78="","",'INTERACTION-PAGE'!V78)</f>
        <v>0</v>
      </c>
      <c r="W78" s="11">
        <f>IF('INTERACTION-PAGE'!W78="","",'INTERACTION-PAGE'!W78)</f>
        <v>0</v>
      </c>
      <c r="X78" s="11">
        <f>IF('INTERACTION-PAGE'!X78="","",'INTERACTION-PAGE'!X78)</f>
        <v>0</v>
      </c>
      <c r="Y78" s="27">
        <f t="shared" si="11"/>
        <v>46</v>
      </c>
      <c r="Z78" s="27">
        <f t="shared" si="12"/>
        <v>78.333333333333329</v>
      </c>
      <c r="AA78" s="27">
        <f t="shared" si="13"/>
        <v>50</v>
      </c>
      <c r="AB78" s="27">
        <f t="shared" si="14"/>
        <v>45.714285714285715</v>
      </c>
      <c r="AC78" s="27">
        <f t="shared" si="15"/>
        <v>23.333333333333332</v>
      </c>
      <c r="AD78" s="27" t="str">
        <f t="shared" si="16"/>
        <v xml:space="preserve"> </v>
      </c>
      <c r="AE78" s="28">
        <f t="shared" si="10"/>
        <v>49.345238095238095</v>
      </c>
    </row>
    <row r="79" spans="1:31" ht="15" customHeight="1">
      <c r="A79" s="2">
        <v>69</v>
      </c>
      <c r="B79" s="11" t="str">
        <f>IF('INTERACTION-PAGE'!B79="","",'INTERACTION-PAGE'!B79)</f>
        <v>DBD24027</v>
      </c>
      <c r="C79" s="11" t="str">
        <f>IF('INTERACTION-PAGE'!C79="","",'INTERACTION-PAGE'!C79)</f>
        <v>Kanishk Dam</v>
      </c>
      <c r="D79" s="11" t="str">
        <f>IF('INTERACTION-PAGE'!D79="","",'INTERACTION-PAGE'!D79)</f>
        <v/>
      </c>
      <c r="E79" s="11">
        <f>IF('INTERACTION-PAGE'!E79="","",'INTERACTION-PAGE'!E79)</f>
        <v>0</v>
      </c>
      <c r="F79" s="11">
        <f>IF('INTERACTION-PAGE'!F79="","",'INTERACTION-PAGE'!F79)</f>
        <v>0</v>
      </c>
      <c r="G79" s="11">
        <f>IF('INTERACTION-PAGE'!G79="","",'INTERACTION-PAGE'!G79)</f>
        <v>7</v>
      </c>
      <c r="H79" s="11">
        <f>IF('INTERACTION-PAGE'!H79="","",'INTERACTION-PAGE'!H79)</f>
        <v>0</v>
      </c>
      <c r="I79" s="11">
        <f>IF('INTERACTION-PAGE'!I79="","",'INTERACTION-PAGE'!I79)</f>
        <v>0</v>
      </c>
      <c r="J79" s="11">
        <f>IF('INTERACTION-PAGE'!J79="","",'INTERACTION-PAGE'!J79)</f>
        <v>1</v>
      </c>
      <c r="K79" s="11">
        <f>IF('INTERACTION-PAGE'!K79="","",'INTERACTION-PAGE'!K79)</f>
        <v>0.5</v>
      </c>
      <c r="L79" s="11">
        <f>IF('INTERACTION-PAGE'!L79="","",'INTERACTION-PAGE'!L79)</f>
        <v>5</v>
      </c>
      <c r="M79" s="11">
        <f>IF('INTERACTION-PAGE'!M79="","",'INTERACTION-PAGE'!M79)</f>
        <v>0.5</v>
      </c>
      <c r="N79" s="11">
        <f>IF('INTERACTION-PAGE'!N79="","",'INTERACTION-PAGE'!N79)</f>
        <v>0</v>
      </c>
      <c r="O79" s="11">
        <f>IF('INTERACTION-PAGE'!O79="","",'INTERACTION-PAGE'!O79)</f>
        <v>0</v>
      </c>
      <c r="P79" s="11">
        <f>IF('INTERACTION-PAGE'!P79="","",'INTERACTION-PAGE'!P79)</f>
        <v>0</v>
      </c>
      <c r="Q79" s="11">
        <f>IF('INTERACTION-PAGE'!Q79="","",'INTERACTION-PAGE'!Q79)</f>
        <v>0</v>
      </c>
      <c r="R79" s="11">
        <f>IF('INTERACTION-PAGE'!R79="","",'INTERACTION-PAGE'!R79)</f>
        <v>0</v>
      </c>
      <c r="S79" s="11">
        <f>IF('INTERACTION-PAGE'!S79="","",'INTERACTION-PAGE'!S79)</f>
        <v>0</v>
      </c>
      <c r="T79" s="11">
        <f>IF('INTERACTION-PAGE'!T79="","",'INTERACTION-PAGE'!T79)</f>
        <v>15</v>
      </c>
      <c r="U79" s="11">
        <f>IF('INTERACTION-PAGE'!U79="","",'INTERACTION-PAGE'!U79)</f>
        <v>0</v>
      </c>
      <c r="V79" s="11">
        <f>IF('INTERACTION-PAGE'!V79="","",'INTERACTION-PAGE'!V79)</f>
        <v>0</v>
      </c>
      <c r="W79" s="11">
        <f>IF('INTERACTION-PAGE'!W79="","",'INTERACTION-PAGE'!W79)</f>
        <v>0</v>
      </c>
      <c r="X79" s="11">
        <f>IF('INTERACTION-PAGE'!X79="","",'INTERACTION-PAGE'!X79)</f>
        <v>0</v>
      </c>
      <c r="Y79" s="27">
        <f t="shared" si="11"/>
        <v>23.2</v>
      </c>
      <c r="Z79" s="27">
        <f t="shared" si="12"/>
        <v>53.333333333333336</v>
      </c>
      <c r="AA79" s="27">
        <f t="shared" si="13"/>
        <v>3.3333333333333335</v>
      </c>
      <c r="AB79" s="27">
        <f t="shared" si="14"/>
        <v>34.285714285714285</v>
      </c>
      <c r="AC79" s="27">
        <f t="shared" si="15"/>
        <v>1.1111111111111112</v>
      </c>
      <c r="AD79" s="27" t="str">
        <f t="shared" si="16"/>
        <v xml:space="preserve"> </v>
      </c>
      <c r="AE79" s="28">
        <f t="shared" si="10"/>
        <v>23.015873015873019</v>
      </c>
    </row>
    <row r="80" spans="1:31" ht="15" customHeight="1">
      <c r="A80" s="3">
        <v>70</v>
      </c>
      <c r="B80" s="11" t="str">
        <f>IF('INTERACTION-PAGE'!B80="","",'INTERACTION-PAGE'!B80)</f>
        <v>DBD24028</v>
      </c>
      <c r="C80" s="11" t="str">
        <f>IF('INTERACTION-PAGE'!C80="","",'INTERACTION-PAGE'!C80)</f>
        <v>Danisha Ahmed</v>
      </c>
      <c r="D80" s="11" t="str">
        <f>IF('INTERACTION-PAGE'!D80="","",'INTERACTION-PAGE'!D80)</f>
        <v/>
      </c>
      <c r="E80" s="11">
        <f>IF('INTERACTION-PAGE'!E80="","",'INTERACTION-PAGE'!E80)</f>
        <v>0</v>
      </c>
      <c r="F80" s="11">
        <f>IF('INTERACTION-PAGE'!F80="","",'INTERACTION-PAGE'!F80)</f>
        <v>0</v>
      </c>
      <c r="G80" s="11">
        <f>IF('INTERACTION-PAGE'!G80="","",'INTERACTION-PAGE'!G80)</f>
        <v>10</v>
      </c>
      <c r="H80" s="11">
        <f>IF('INTERACTION-PAGE'!H80="","",'INTERACTION-PAGE'!H80)</f>
        <v>3</v>
      </c>
      <c r="I80" s="11">
        <f>IF('INTERACTION-PAGE'!I80="","",'INTERACTION-PAGE'!I80)</f>
        <v>0</v>
      </c>
      <c r="J80" s="11">
        <f>IF('INTERACTION-PAGE'!J80="","",'INTERACTION-PAGE'!J80)</f>
        <v>0</v>
      </c>
      <c r="K80" s="11">
        <f>IF('INTERACTION-PAGE'!K80="","",'INTERACTION-PAGE'!K80)</f>
        <v>3</v>
      </c>
      <c r="L80" s="11">
        <f>IF('INTERACTION-PAGE'!L80="","",'INTERACTION-PAGE'!L80)</f>
        <v>7</v>
      </c>
      <c r="M80" s="11">
        <f>IF('INTERACTION-PAGE'!M80="","",'INTERACTION-PAGE'!M80)</f>
        <v>3</v>
      </c>
      <c r="N80" s="11">
        <f>IF('INTERACTION-PAGE'!N80="","",'INTERACTION-PAGE'!N80)</f>
        <v>0</v>
      </c>
      <c r="O80" s="11">
        <f>IF('INTERACTION-PAGE'!O80="","",'INTERACTION-PAGE'!O80)</f>
        <v>0</v>
      </c>
      <c r="P80" s="11">
        <f>IF('INTERACTION-PAGE'!P80="","",'INTERACTION-PAGE'!P80)</f>
        <v>0</v>
      </c>
      <c r="Q80" s="11">
        <f>IF('INTERACTION-PAGE'!Q80="","",'INTERACTION-PAGE'!Q80)</f>
        <v>0</v>
      </c>
      <c r="R80" s="11">
        <f>IF('INTERACTION-PAGE'!R80="","",'INTERACTION-PAGE'!R80)</f>
        <v>0</v>
      </c>
      <c r="S80" s="11">
        <f>IF('INTERACTION-PAGE'!S80="","",'INTERACTION-PAGE'!S80)</f>
        <v>0</v>
      </c>
      <c r="T80" s="11">
        <f>IF('INTERACTION-PAGE'!T80="","",'INTERACTION-PAGE'!T80)</f>
        <v>22</v>
      </c>
      <c r="U80" s="11">
        <f>IF('INTERACTION-PAGE'!U80="","",'INTERACTION-PAGE'!U80)</f>
        <v>0</v>
      </c>
      <c r="V80" s="11">
        <f>IF('INTERACTION-PAGE'!V80="","",'INTERACTION-PAGE'!V80)</f>
        <v>0</v>
      </c>
      <c r="W80" s="11">
        <f>IF('INTERACTION-PAGE'!W80="","",'INTERACTION-PAGE'!W80)</f>
        <v>0</v>
      </c>
      <c r="X80" s="11">
        <f>IF('INTERACTION-PAGE'!X80="","",'INTERACTION-PAGE'!X80)</f>
        <v>0</v>
      </c>
      <c r="Y80" s="27">
        <f t="shared" si="11"/>
        <v>38.4</v>
      </c>
      <c r="Z80" s="27">
        <f t="shared" si="12"/>
        <v>73.333333333333329</v>
      </c>
      <c r="AA80" s="27">
        <f t="shared" si="13"/>
        <v>20</v>
      </c>
      <c r="AB80" s="27">
        <f t="shared" si="14"/>
        <v>48.571428571428569</v>
      </c>
      <c r="AC80" s="27">
        <f t="shared" si="15"/>
        <v>13.333333333333334</v>
      </c>
      <c r="AD80" s="27" t="str">
        <f t="shared" si="16"/>
        <v xml:space="preserve"> </v>
      </c>
      <c r="AE80" s="28">
        <f t="shared" si="10"/>
        <v>38.80952380952381</v>
      </c>
    </row>
    <row r="81" spans="1:31" ht="15" customHeight="1">
      <c r="A81" s="2">
        <v>71</v>
      </c>
      <c r="B81" s="11" t="str">
        <f>IF('INTERACTION-PAGE'!B81="","",'INTERACTION-PAGE'!B81)</f>
        <v>DBD24029</v>
      </c>
      <c r="C81" s="11" t="str">
        <f>IF('INTERACTION-PAGE'!C81="","",'INTERACTION-PAGE'!C81)</f>
        <v>Shristi Dey</v>
      </c>
      <c r="D81" s="11" t="str">
        <f>IF('INTERACTION-PAGE'!D81="","",'INTERACTION-PAGE'!D81)</f>
        <v/>
      </c>
      <c r="E81" s="11">
        <f>IF('INTERACTION-PAGE'!E81="","",'INTERACTION-PAGE'!E81)</f>
        <v>0</v>
      </c>
      <c r="F81" s="11">
        <f>IF('INTERACTION-PAGE'!F81="","",'INTERACTION-PAGE'!F81)</f>
        <v>0</v>
      </c>
      <c r="G81" s="11">
        <f>IF('INTERACTION-PAGE'!G81="","",'INTERACTION-PAGE'!G81)</f>
        <v>10</v>
      </c>
      <c r="H81" s="11">
        <f>IF('INTERACTION-PAGE'!H81="","",'INTERACTION-PAGE'!H81)</f>
        <v>17</v>
      </c>
      <c r="I81" s="11">
        <f>IF('INTERACTION-PAGE'!I81="","",'INTERACTION-PAGE'!I81)</f>
        <v>0</v>
      </c>
      <c r="J81" s="11">
        <f>IF('INTERACTION-PAGE'!J81="","",'INTERACTION-PAGE'!J81)</f>
        <v>1</v>
      </c>
      <c r="K81" s="11">
        <f>IF('INTERACTION-PAGE'!K81="","",'INTERACTION-PAGE'!K81)</f>
        <v>7.5</v>
      </c>
      <c r="L81" s="11">
        <f>IF('INTERACTION-PAGE'!L81="","",'INTERACTION-PAGE'!L81)</f>
        <v>7</v>
      </c>
      <c r="M81" s="11">
        <f>IF('INTERACTION-PAGE'!M81="","",'INTERACTION-PAGE'!M81)</f>
        <v>2.5</v>
      </c>
      <c r="N81" s="11">
        <f>IF('INTERACTION-PAGE'!N81="","",'INTERACTION-PAGE'!N81)</f>
        <v>0</v>
      </c>
      <c r="O81" s="11">
        <f>IF('INTERACTION-PAGE'!O81="","",'INTERACTION-PAGE'!O81)</f>
        <v>0</v>
      </c>
      <c r="P81" s="11">
        <f>IF('INTERACTION-PAGE'!P81="","",'INTERACTION-PAGE'!P81)</f>
        <v>0</v>
      </c>
      <c r="Q81" s="11">
        <f>IF('INTERACTION-PAGE'!Q81="","",'INTERACTION-PAGE'!Q81)</f>
        <v>0</v>
      </c>
      <c r="R81" s="11">
        <f>IF('INTERACTION-PAGE'!R81="","",'INTERACTION-PAGE'!R81)</f>
        <v>0</v>
      </c>
      <c r="S81" s="11">
        <f>IF('INTERACTION-PAGE'!S81="","",'INTERACTION-PAGE'!S81)</f>
        <v>0</v>
      </c>
      <c r="T81" s="11">
        <f>IF('INTERACTION-PAGE'!T81="","",'INTERACTION-PAGE'!T81)</f>
        <v>16</v>
      </c>
      <c r="U81" s="11">
        <f>IF('INTERACTION-PAGE'!U81="","",'INTERACTION-PAGE'!U81)</f>
        <v>0</v>
      </c>
      <c r="V81" s="11">
        <f>IF('INTERACTION-PAGE'!V81="","",'INTERACTION-PAGE'!V81)</f>
        <v>0</v>
      </c>
      <c r="W81" s="11">
        <f>IF('INTERACTION-PAGE'!W81="","",'INTERACTION-PAGE'!W81)</f>
        <v>0</v>
      </c>
      <c r="X81" s="11">
        <f>IF('INTERACTION-PAGE'!X81="","",'INTERACTION-PAGE'!X81)</f>
        <v>0</v>
      </c>
      <c r="Y81" s="27">
        <f t="shared" si="11"/>
        <v>48.8</v>
      </c>
      <c r="Z81" s="27">
        <f t="shared" si="12"/>
        <v>56.666666666666664</v>
      </c>
      <c r="AA81" s="27">
        <f t="shared" si="13"/>
        <v>50</v>
      </c>
      <c r="AB81" s="27">
        <f t="shared" si="14"/>
        <v>48.571428571428569</v>
      </c>
      <c r="AC81" s="27">
        <f t="shared" si="15"/>
        <v>43.333333333333336</v>
      </c>
      <c r="AD81" s="27" t="str">
        <f t="shared" si="16"/>
        <v xml:space="preserve"> </v>
      </c>
      <c r="AE81" s="28">
        <f t="shared" si="10"/>
        <v>49.642857142857146</v>
      </c>
    </row>
    <row r="82" spans="1:31" ht="15" customHeight="1">
      <c r="A82" s="3">
        <v>72</v>
      </c>
      <c r="B82" s="11" t="str">
        <f>IF('INTERACTION-PAGE'!B82="","",'INTERACTION-PAGE'!B82)</f>
        <v>DBD24030</v>
      </c>
      <c r="C82" s="11" t="str">
        <f>IF('INTERACTION-PAGE'!C82="","",'INTERACTION-PAGE'!C82)</f>
        <v>Shahid Ansari</v>
      </c>
      <c r="D82" s="11" t="str">
        <f>IF('INTERACTION-PAGE'!D82="","",'INTERACTION-PAGE'!D82)</f>
        <v/>
      </c>
      <c r="E82" s="11">
        <f>IF('INTERACTION-PAGE'!E82="","",'INTERACTION-PAGE'!E82)</f>
        <v>0</v>
      </c>
      <c r="F82" s="11">
        <f>IF('INTERACTION-PAGE'!F82="","",'INTERACTION-PAGE'!F82)</f>
        <v>0.5</v>
      </c>
      <c r="G82" s="11">
        <f>IF('INTERACTION-PAGE'!G82="","",'INTERACTION-PAGE'!G82)</f>
        <v>10</v>
      </c>
      <c r="H82" s="11">
        <f>IF('INTERACTION-PAGE'!H82="","",'INTERACTION-PAGE'!H82)</f>
        <v>3</v>
      </c>
      <c r="I82" s="11">
        <f>IF('INTERACTION-PAGE'!I82="","",'INTERACTION-PAGE'!I82)</f>
        <v>0</v>
      </c>
      <c r="J82" s="11">
        <f>IF('INTERACTION-PAGE'!J82="","",'INTERACTION-PAGE'!J82)</f>
        <v>0.5</v>
      </c>
      <c r="K82" s="11">
        <f>IF('INTERACTION-PAGE'!K82="","",'INTERACTION-PAGE'!K82)</f>
        <v>5</v>
      </c>
      <c r="L82" s="11">
        <f>IF('INTERACTION-PAGE'!L82="","",'INTERACTION-PAGE'!L82)</f>
        <v>5</v>
      </c>
      <c r="M82" s="11">
        <f>IF('INTERACTION-PAGE'!M82="","",'INTERACTION-PAGE'!M82)</f>
        <v>1</v>
      </c>
      <c r="N82" s="11">
        <f>IF('INTERACTION-PAGE'!N82="","",'INTERACTION-PAGE'!N82)</f>
        <v>0</v>
      </c>
      <c r="O82" s="11">
        <f>IF('INTERACTION-PAGE'!O82="","",'INTERACTION-PAGE'!O82)</f>
        <v>0</v>
      </c>
      <c r="P82" s="11">
        <f>IF('INTERACTION-PAGE'!P82="","",'INTERACTION-PAGE'!P82)</f>
        <v>0</v>
      </c>
      <c r="Q82" s="11">
        <f>IF('INTERACTION-PAGE'!Q82="","",'INTERACTION-PAGE'!Q82)</f>
        <v>0</v>
      </c>
      <c r="R82" s="11">
        <f>IF('INTERACTION-PAGE'!R82="","",'INTERACTION-PAGE'!R82)</f>
        <v>0</v>
      </c>
      <c r="S82" s="11">
        <f>IF('INTERACTION-PAGE'!S82="","",'INTERACTION-PAGE'!S82)</f>
        <v>0</v>
      </c>
      <c r="T82" s="11">
        <f>IF('INTERACTION-PAGE'!T82="","",'INTERACTION-PAGE'!T82)</f>
        <v>21</v>
      </c>
      <c r="U82" s="11">
        <f>IF('INTERACTION-PAGE'!U82="","",'INTERACTION-PAGE'!U82)</f>
        <v>0</v>
      </c>
      <c r="V82" s="11">
        <f>IF('INTERACTION-PAGE'!V82="","",'INTERACTION-PAGE'!V82)</f>
        <v>0</v>
      </c>
      <c r="W82" s="11">
        <f>IF('INTERACTION-PAGE'!W82="","",'INTERACTION-PAGE'!W82)</f>
        <v>0</v>
      </c>
      <c r="X82" s="11">
        <f>IF('INTERACTION-PAGE'!X82="","",'INTERACTION-PAGE'!X82)</f>
        <v>0</v>
      </c>
      <c r="Y82" s="27">
        <f t="shared" si="11"/>
        <v>36.799999999999997</v>
      </c>
      <c r="Z82" s="27">
        <f t="shared" si="12"/>
        <v>71.666666666666671</v>
      </c>
      <c r="AA82" s="27">
        <f t="shared" si="13"/>
        <v>36.666666666666664</v>
      </c>
      <c r="AB82" s="27">
        <f t="shared" si="14"/>
        <v>42.857142857142854</v>
      </c>
      <c r="AC82" s="27">
        <f t="shared" si="15"/>
        <v>8.8888888888888893</v>
      </c>
      <c r="AD82" s="27" t="str">
        <f t="shared" si="16"/>
        <v xml:space="preserve"> </v>
      </c>
      <c r="AE82" s="28">
        <f t="shared" si="10"/>
        <v>40.019841269841272</v>
      </c>
    </row>
    <row r="83" spans="1:31" ht="15" customHeight="1">
      <c r="A83" s="2">
        <v>73</v>
      </c>
      <c r="B83" s="11" t="str">
        <f>IF('INTERACTION-PAGE'!B83="","",'INTERACTION-PAGE'!B83)</f>
        <v/>
      </c>
      <c r="C83" s="11" t="str">
        <f>IF('INTERACTION-PAGE'!C83="","",'INTERACTION-PAGE'!C83)</f>
        <v/>
      </c>
      <c r="D83" s="11" t="str">
        <f>IF('INTERACTION-PAGE'!D83="","",'INTERACTION-PAGE'!D83)</f>
        <v/>
      </c>
      <c r="E83" s="11" t="str">
        <f>IF('INTERACTION-PAGE'!E83="","",'INTERACTION-PAGE'!E83)</f>
        <v/>
      </c>
      <c r="F83" s="11" t="str">
        <f>IF('INTERACTION-PAGE'!F83="","",'INTERACTION-PAGE'!F83)</f>
        <v/>
      </c>
      <c r="G83" s="11" t="str">
        <f>IF('INTERACTION-PAGE'!G83="","",'INTERACTION-PAGE'!G83)</f>
        <v/>
      </c>
      <c r="H83" s="11" t="str">
        <f>IF('INTERACTION-PAGE'!H83="","",'INTERACTION-PAGE'!H83)</f>
        <v/>
      </c>
      <c r="I83" s="11" t="str">
        <f>IF('INTERACTION-PAGE'!I83="","",'INTERACTION-PAGE'!I83)</f>
        <v/>
      </c>
      <c r="J83" s="11" t="str">
        <f>IF('INTERACTION-PAGE'!J83="","",'INTERACTION-PAGE'!J83)</f>
        <v/>
      </c>
      <c r="K83" s="11" t="str">
        <f>IF('INTERACTION-PAGE'!K83="","",'INTERACTION-PAGE'!K83)</f>
        <v/>
      </c>
      <c r="L83" s="11" t="str">
        <f>IF('INTERACTION-PAGE'!L83="","",'INTERACTION-PAGE'!L83)</f>
        <v/>
      </c>
      <c r="M83" s="11" t="str">
        <f>IF('INTERACTION-PAGE'!M83="","",'INTERACTION-PAGE'!M83)</f>
        <v/>
      </c>
      <c r="N83" s="11" t="str">
        <f>IF('INTERACTION-PAGE'!N83="","",'INTERACTION-PAGE'!N83)</f>
        <v/>
      </c>
      <c r="O83" s="11" t="str">
        <f>IF('INTERACTION-PAGE'!O83="","",'INTERACTION-PAGE'!O83)</f>
        <v/>
      </c>
      <c r="P83" s="11" t="str">
        <f>IF('INTERACTION-PAGE'!P83="","",'INTERACTION-PAGE'!P83)</f>
        <v/>
      </c>
      <c r="Q83" s="11" t="str">
        <f>IF('INTERACTION-PAGE'!Q83="","",'INTERACTION-PAGE'!Q83)</f>
        <v/>
      </c>
      <c r="R83" s="11" t="str">
        <f>IF('INTERACTION-PAGE'!R83="","",'INTERACTION-PAGE'!R83)</f>
        <v/>
      </c>
      <c r="S83" s="11" t="str">
        <f>IF('INTERACTION-PAGE'!S83="","",'INTERACTION-PAGE'!S83)</f>
        <v/>
      </c>
      <c r="T83" s="11" t="str">
        <f>IF('INTERACTION-PAGE'!T83="","",'INTERACTION-PAGE'!T83)</f>
        <v/>
      </c>
      <c r="U83" s="11" t="str">
        <f>IF('INTERACTION-PAGE'!U83="","",'INTERACTION-PAGE'!U83)</f>
        <v/>
      </c>
      <c r="V83" s="11" t="str">
        <f>IF('INTERACTION-PAGE'!V83="","",'INTERACTION-PAGE'!V83)</f>
        <v/>
      </c>
      <c r="W83" s="11" t="str">
        <f>IF('INTERACTION-PAGE'!W83="","",'INTERACTION-PAGE'!W83)</f>
        <v/>
      </c>
      <c r="X83" s="11" t="str">
        <f>IF('INTERACTION-PAGE'!X83="","",'INTERACTION-PAGE'!X83)</f>
        <v/>
      </c>
      <c r="Y83" s="27" t="str">
        <f t="shared" si="11"/>
        <v/>
      </c>
      <c r="Z83" s="27" t="str">
        <f t="shared" si="12"/>
        <v/>
      </c>
      <c r="AA83" s="27" t="str">
        <f t="shared" si="13"/>
        <v/>
      </c>
      <c r="AB83" s="27" t="str">
        <f t="shared" si="14"/>
        <v/>
      </c>
      <c r="AC83" s="27" t="str">
        <f t="shared" si="15"/>
        <v/>
      </c>
      <c r="AD83" s="27" t="str">
        <f t="shared" si="16"/>
        <v/>
      </c>
      <c r="AE83" s="28" t="str">
        <f t="shared" si="10"/>
        <v/>
      </c>
    </row>
    <row r="84" spans="1:31" ht="15" customHeight="1">
      <c r="A84" s="3">
        <v>74</v>
      </c>
      <c r="B84" s="11" t="str">
        <f>IF('INTERACTION-PAGE'!B84="","",'INTERACTION-PAGE'!B84)</f>
        <v/>
      </c>
      <c r="C84" s="11" t="str">
        <f>IF('INTERACTION-PAGE'!C84="","",'INTERACTION-PAGE'!C84)</f>
        <v/>
      </c>
      <c r="D84" s="11" t="str">
        <f>IF('INTERACTION-PAGE'!D84="","",'INTERACTION-PAGE'!D84)</f>
        <v/>
      </c>
      <c r="E84" s="11" t="str">
        <f>IF('INTERACTION-PAGE'!E84="","",'INTERACTION-PAGE'!E84)</f>
        <v/>
      </c>
      <c r="F84" s="11" t="str">
        <f>IF('INTERACTION-PAGE'!F84="","",'INTERACTION-PAGE'!F84)</f>
        <v/>
      </c>
      <c r="G84" s="11" t="str">
        <f>IF('INTERACTION-PAGE'!G84="","",'INTERACTION-PAGE'!G84)</f>
        <v/>
      </c>
      <c r="H84" s="11" t="str">
        <f>IF('INTERACTION-PAGE'!H84="","",'INTERACTION-PAGE'!H84)</f>
        <v/>
      </c>
      <c r="I84" s="11" t="str">
        <f>IF('INTERACTION-PAGE'!I84="","",'INTERACTION-PAGE'!I84)</f>
        <v/>
      </c>
      <c r="J84" s="11" t="str">
        <f>IF('INTERACTION-PAGE'!J84="","",'INTERACTION-PAGE'!J84)</f>
        <v/>
      </c>
      <c r="K84" s="11" t="str">
        <f>IF('INTERACTION-PAGE'!K84="","",'INTERACTION-PAGE'!K84)</f>
        <v/>
      </c>
      <c r="L84" s="11" t="str">
        <f>IF('INTERACTION-PAGE'!L84="","",'INTERACTION-PAGE'!L84)</f>
        <v/>
      </c>
      <c r="M84" s="11" t="str">
        <f>IF('INTERACTION-PAGE'!M84="","",'INTERACTION-PAGE'!M84)</f>
        <v/>
      </c>
      <c r="N84" s="11" t="str">
        <f>IF('INTERACTION-PAGE'!N84="","",'INTERACTION-PAGE'!N84)</f>
        <v/>
      </c>
      <c r="O84" s="11" t="str">
        <f>IF('INTERACTION-PAGE'!O84="","",'INTERACTION-PAGE'!O84)</f>
        <v/>
      </c>
      <c r="P84" s="11" t="str">
        <f>IF('INTERACTION-PAGE'!P84="","",'INTERACTION-PAGE'!P84)</f>
        <v/>
      </c>
      <c r="Q84" s="11" t="str">
        <f>IF('INTERACTION-PAGE'!Q84="","",'INTERACTION-PAGE'!Q84)</f>
        <v/>
      </c>
      <c r="R84" s="11" t="str">
        <f>IF('INTERACTION-PAGE'!R84="","",'INTERACTION-PAGE'!R84)</f>
        <v/>
      </c>
      <c r="S84" s="11" t="str">
        <f>IF('INTERACTION-PAGE'!S84="","",'INTERACTION-PAGE'!S84)</f>
        <v/>
      </c>
      <c r="T84" s="11" t="str">
        <f>IF('INTERACTION-PAGE'!T84="","",'INTERACTION-PAGE'!T84)</f>
        <v/>
      </c>
      <c r="U84" s="11" t="str">
        <f>IF('INTERACTION-PAGE'!U84="","",'INTERACTION-PAGE'!U84)</f>
        <v/>
      </c>
      <c r="V84" s="11" t="str">
        <f>IF('INTERACTION-PAGE'!V84="","",'INTERACTION-PAGE'!V84)</f>
        <v/>
      </c>
      <c r="W84" s="11" t="str">
        <f>IF('INTERACTION-PAGE'!W84="","",'INTERACTION-PAGE'!W84)</f>
        <v/>
      </c>
      <c r="X84" s="11" t="str">
        <f>IF('INTERACTION-PAGE'!X84="","",'INTERACTION-PAGE'!X84)</f>
        <v/>
      </c>
      <c r="Y84" s="27" t="str">
        <f t="shared" si="11"/>
        <v/>
      </c>
      <c r="Z84" s="27" t="str">
        <f t="shared" si="12"/>
        <v/>
      </c>
      <c r="AA84" s="27" t="str">
        <f t="shared" si="13"/>
        <v/>
      </c>
      <c r="AB84" s="27" t="str">
        <f t="shared" si="14"/>
        <v/>
      </c>
      <c r="AC84" s="27" t="str">
        <f t="shared" si="15"/>
        <v/>
      </c>
      <c r="AD84" s="27" t="str">
        <f t="shared" si="16"/>
        <v/>
      </c>
      <c r="AE84" s="28" t="str">
        <f t="shared" si="10"/>
        <v/>
      </c>
    </row>
    <row r="85" spans="1:31" ht="15" customHeight="1">
      <c r="A85" s="2">
        <v>75</v>
      </c>
      <c r="B85" s="11" t="str">
        <f>IF('INTERACTION-PAGE'!B85="","",'INTERACTION-PAGE'!B85)</f>
        <v/>
      </c>
      <c r="C85" s="11" t="str">
        <f>IF('INTERACTION-PAGE'!C85="","",'INTERACTION-PAGE'!C85)</f>
        <v/>
      </c>
      <c r="D85" s="11" t="str">
        <f>IF('INTERACTION-PAGE'!D85="","",'INTERACTION-PAGE'!D85)</f>
        <v/>
      </c>
      <c r="E85" s="11" t="str">
        <f>IF('INTERACTION-PAGE'!E85="","",'INTERACTION-PAGE'!E85)</f>
        <v/>
      </c>
      <c r="F85" s="11" t="str">
        <f>IF('INTERACTION-PAGE'!F85="","",'INTERACTION-PAGE'!F85)</f>
        <v/>
      </c>
      <c r="G85" s="11" t="str">
        <f>IF('INTERACTION-PAGE'!G85="","",'INTERACTION-PAGE'!G85)</f>
        <v/>
      </c>
      <c r="H85" s="11" t="str">
        <f>IF('INTERACTION-PAGE'!H85="","",'INTERACTION-PAGE'!H85)</f>
        <v/>
      </c>
      <c r="I85" s="11" t="str">
        <f>IF('INTERACTION-PAGE'!I85="","",'INTERACTION-PAGE'!I85)</f>
        <v/>
      </c>
      <c r="J85" s="11" t="str">
        <f>IF('INTERACTION-PAGE'!J85="","",'INTERACTION-PAGE'!J85)</f>
        <v/>
      </c>
      <c r="K85" s="11" t="str">
        <f>IF('INTERACTION-PAGE'!K85="","",'INTERACTION-PAGE'!K85)</f>
        <v/>
      </c>
      <c r="L85" s="11" t="str">
        <f>IF('INTERACTION-PAGE'!L85="","",'INTERACTION-PAGE'!L85)</f>
        <v/>
      </c>
      <c r="M85" s="11" t="str">
        <f>IF('INTERACTION-PAGE'!M85="","",'INTERACTION-PAGE'!M85)</f>
        <v/>
      </c>
      <c r="N85" s="11" t="str">
        <f>IF('INTERACTION-PAGE'!N85="","",'INTERACTION-PAGE'!N85)</f>
        <v/>
      </c>
      <c r="O85" s="11" t="str">
        <f>IF('INTERACTION-PAGE'!O85="","",'INTERACTION-PAGE'!O85)</f>
        <v/>
      </c>
      <c r="P85" s="11" t="str">
        <f>IF('INTERACTION-PAGE'!P85="","",'INTERACTION-PAGE'!P85)</f>
        <v/>
      </c>
      <c r="Q85" s="11" t="str">
        <f>IF('INTERACTION-PAGE'!Q85="","",'INTERACTION-PAGE'!Q85)</f>
        <v/>
      </c>
      <c r="R85" s="11" t="str">
        <f>IF('INTERACTION-PAGE'!R85="","",'INTERACTION-PAGE'!R85)</f>
        <v/>
      </c>
      <c r="S85" s="11" t="str">
        <f>IF('INTERACTION-PAGE'!S85="","",'INTERACTION-PAGE'!S85)</f>
        <v/>
      </c>
      <c r="T85" s="11" t="str">
        <f>IF('INTERACTION-PAGE'!T85="","",'INTERACTION-PAGE'!T85)</f>
        <v/>
      </c>
      <c r="U85" s="11" t="str">
        <f>IF('INTERACTION-PAGE'!U85="","",'INTERACTION-PAGE'!U85)</f>
        <v/>
      </c>
      <c r="V85" s="11" t="str">
        <f>IF('INTERACTION-PAGE'!V85="","",'INTERACTION-PAGE'!V85)</f>
        <v/>
      </c>
      <c r="W85" s="11" t="str">
        <f>IF('INTERACTION-PAGE'!W85="","",'INTERACTION-PAGE'!W85)</f>
        <v/>
      </c>
      <c r="X85" s="11" t="str">
        <f>IF('INTERACTION-PAGE'!X85="","",'INTERACTION-PAGE'!X85)</f>
        <v/>
      </c>
      <c r="Y85" s="27" t="str">
        <f t="shared" si="11"/>
        <v/>
      </c>
      <c r="Z85" s="27" t="str">
        <f t="shared" si="12"/>
        <v/>
      </c>
      <c r="AA85" s="27" t="str">
        <f t="shared" si="13"/>
        <v/>
      </c>
      <c r="AB85" s="27" t="str">
        <f t="shared" si="14"/>
        <v/>
      </c>
      <c r="AC85" s="27" t="str">
        <f t="shared" si="15"/>
        <v/>
      </c>
      <c r="AD85" s="27" t="str">
        <f t="shared" si="16"/>
        <v/>
      </c>
      <c r="AE85" s="28" t="str">
        <f t="shared" si="10"/>
        <v/>
      </c>
    </row>
    <row r="86" spans="1:31" ht="15" customHeight="1">
      <c r="A86" s="3">
        <v>76</v>
      </c>
      <c r="B86" s="11" t="str">
        <f>IF('INTERACTION-PAGE'!B86="","",'INTERACTION-PAGE'!B86)</f>
        <v/>
      </c>
      <c r="C86" s="11" t="str">
        <f>IF('INTERACTION-PAGE'!C86="","",'INTERACTION-PAGE'!C86)</f>
        <v/>
      </c>
      <c r="D86" s="11" t="str">
        <f>IF('INTERACTION-PAGE'!D86="","",'INTERACTION-PAGE'!D86)</f>
        <v/>
      </c>
      <c r="E86" s="11" t="str">
        <f>IF('INTERACTION-PAGE'!E86="","",'INTERACTION-PAGE'!E86)</f>
        <v/>
      </c>
      <c r="F86" s="11" t="str">
        <f>IF('INTERACTION-PAGE'!F86="","",'INTERACTION-PAGE'!F86)</f>
        <v/>
      </c>
      <c r="G86" s="11" t="str">
        <f>IF('INTERACTION-PAGE'!G86="","",'INTERACTION-PAGE'!G86)</f>
        <v/>
      </c>
      <c r="H86" s="11" t="str">
        <f>IF('INTERACTION-PAGE'!H86="","",'INTERACTION-PAGE'!H86)</f>
        <v/>
      </c>
      <c r="I86" s="11" t="str">
        <f>IF('INTERACTION-PAGE'!I86="","",'INTERACTION-PAGE'!I86)</f>
        <v/>
      </c>
      <c r="J86" s="11" t="str">
        <f>IF('INTERACTION-PAGE'!J86="","",'INTERACTION-PAGE'!J86)</f>
        <v/>
      </c>
      <c r="K86" s="11" t="str">
        <f>IF('INTERACTION-PAGE'!K86="","",'INTERACTION-PAGE'!K86)</f>
        <v/>
      </c>
      <c r="L86" s="11" t="str">
        <f>IF('INTERACTION-PAGE'!L86="","",'INTERACTION-PAGE'!L86)</f>
        <v/>
      </c>
      <c r="M86" s="11" t="str">
        <f>IF('INTERACTION-PAGE'!M86="","",'INTERACTION-PAGE'!M86)</f>
        <v/>
      </c>
      <c r="N86" s="11" t="str">
        <f>IF('INTERACTION-PAGE'!N86="","",'INTERACTION-PAGE'!N86)</f>
        <v/>
      </c>
      <c r="O86" s="11" t="str">
        <f>IF('INTERACTION-PAGE'!O86="","",'INTERACTION-PAGE'!O86)</f>
        <v/>
      </c>
      <c r="P86" s="11" t="str">
        <f>IF('INTERACTION-PAGE'!P86="","",'INTERACTION-PAGE'!P86)</f>
        <v/>
      </c>
      <c r="Q86" s="11" t="str">
        <f>IF('INTERACTION-PAGE'!Q86="","",'INTERACTION-PAGE'!Q86)</f>
        <v/>
      </c>
      <c r="R86" s="11" t="str">
        <f>IF('INTERACTION-PAGE'!R86="","",'INTERACTION-PAGE'!R86)</f>
        <v/>
      </c>
      <c r="S86" s="11" t="str">
        <f>IF('INTERACTION-PAGE'!S86="","",'INTERACTION-PAGE'!S86)</f>
        <v/>
      </c>
      <c r="T86" s="11" t="str">
        <f>IF('INTERACTION-PAGE'!T86="","",'INTERACTION-PAGE'!T86)</f>
        <v/>
      </c>
      <c r="U86" s="11" t="str">
        <f>IF('INTERACTION-PAGE'!U86="","",'INTERACTION-PAGE'!U86)</f>
        <v/>
      </c>
      <c r="V86" s="11" t="str">
        <f>IF('INTERACTION-PAGE'!V86="","",'INTERACTION-PAGE'!V86)</f>
        <v/>
      </c>
      <c r="W86" s="11" t="str">
        <f>IF('INTERACTION-PAGE'!W86="","",'INTERACTION-PAGE'!W86)</f>
        <v/>
      </c>
      <c r="X86" s="11" t="str">
        <f>IF('INTERACTION-PAGE'!X86="","",'INTERACTION-PAGE'!X86)</f>
        <v/>
      </c>
      <c r="Y86" s="27" t="str">
        <f t="shared" si="11"/>
        <v/>
      </c>
      <c r="Z86" s="27" t="str">
        <f t="shared" si="12"/>
        <v/>
      </c>
      <c r="AA86" s="27" t="str">
        <f t="shared" si="13"/>
        <v/>
      </c>
      <c r="AB86" s="27" t="str">
        <f t="shared" si="14"/>
        <v/>
      </c>
      <c r="AC86" s="27" t="str">
        <f t="shared" si="15"/>
        <v/>
      </c>
      <c r="AD86" s="27" t="str">
        <f t="shared" si="16"/>
        <v/>
      </c>
      <c r="AE86" s="28" t="str">
        <f t="shared" si="10"/>
        <v/>
      </c>
    </row>
    <row r="87" spans="1:31" ht="15" customHeight="1">
      <c r="A87" s="2">
        <v>77</v>
      </c>
      <c r="B87" s="11" t="str">
        <f>IF('INTERACTION-PAGE'!B87="","",'INTERACTION-PAGE'!B87)</f>
        <v/>
      </c>
      <c r="C87" s="11" t="str">
        <f>IF('INTERACTION-PAGE'!C87="","",'INTERACTION-PAGE'!C87)</f>
        <v/>
      </c>
      <c r="D87" s="11" t="str">
        <f>IF('INTERACTION-PAGE'!D87="","",'INTERACTION-PAGE'!D87)</f>
        <v/>
      </c>
      <c r="E87" s="11" t="str">
        <f>IF('INTERACTION-PAGE'!E87="","",'INTERACTION-PAGE'!E87)</f>
        <v/>
      </c>
      <c r="F87" s="11" t="str">
        <f>IF('INTERACTION-PAGE'!F87="","",'INTERACTION-PAGE'!F87)</f>
        <v/>
      </c>
      <c r="G87" s="11" t="str">
        <f>IF('INTERACTION-PAGE'!G87="","",'INTERACTION-PAGE'!G87)</f>
        <v/>
      </c>
      <c r="H87" s="11" t="str">
        <f>IF('INTERACTION-PAGE'!H87="","",'INTERACTION-PAGE'!H87)</f>
        <v/>
      </c>
      <c r="I87" s="11" t="str">
        <f>IF('INTERACTION-PAGE'!I87="","",'INTERACTION-PAGE'!I87)</f>
        <v/>
      </c>
      <c r="J87" s="11" t="str">
        <f>IF('INTERACTION-PAGE'!J87="","",'INTERACTION-PAGE'!J87)</f>
        <v/>
      </c>
      <c r="K87" s="11" t="str">
        <f>IF('INTERACTION-PAGE'!K87="","",'INTERACTION-PAGE'!K87)</f>
        <v/>
      </c>
      <c r="L87" s="11" t="str">
        <f>IF('INTERACTION-PAGE'!L87="","",'INTERACTION-PAGE'!L87)</f>
        <v/>
      </c>
      <c r="M87" s="11" t="str">
        <f>IF('INTERACTION-PAGE'!M87="","",'INTERACTION-PAGE'!M87)</f>
        <v/>
      </c>
      <c r="N87" s="11" t="str">
        <f>IF('INTERACTION-PAGE'!N87="","",'INTERACTION-PAGE'!N87)</f>
        <v/>
      </c>
      <c r="O87" s="11" t="str">
        <f>IF('INTERACTION-PAGE'!O87="","",'INTERACTION-PAGE'!O87)</f>
        <v/>
      </c>
      <c r="P87" s="11" t="str">
        <f>IF('INTERACTION-PAGE'!P87="","",'INTERACTION-PAGE'!P87)</f>
        <v/>
      </c>
      <c r="Q87" s="11" t="str">
        <f>IF('INTERACTION-PAGE'!Q87="","",'INTERACTION-PAGE'!Q87)</f>
        <v/>
      </c>
      <c r="R87" s="11" t="str">
        <f>IF('INTERACTION-PAGE'!R87="","",'INTERACTION-PAGE'!R87)</f>
        <v/>
      </c>
      <c r="S87" s="11" t="str">
        <f>IF('INTERACTION-PAGE'!S87="","",'INTERACTION-PAGE'!S87)</f>
        <v/>
      </c>
      <c r="T87" s="11" t="str">
        <f>IF('INTERACTION-PAGE'!T87="","",'INTERACTION-PAGE'!T87)</f>
        <v/>
      </c>
      <c r="U87" s="11" t="str">
        <f>IF('INTERACTION-PAGE'!U87="","",'INTERACTION-PAGE'!U87)</f>
        <v/>
      </c>
      <c r="V87" s="11" t="str">
        <f>IF('INTERACTION-PAGE'!V87="","",'INTERACTION-PAGE'!V87)</f>
        <v/>
      </c>
      <c r="W87" s="11" t="str">
        <f>IF('INTERACTION-PAGE'!W87="","",'INTERACTION-PAGE'!W87)</f>
        <v/>
      </c>
      <c r="X87" s="11" t="str">
        <f>IF('INTERACTION-PAGE'!X87="","",'INTERACTION-PAGE'!X87)</f>
        <v/>
      </c>
      <c r="Y87" s="27" t="str">
        <f t="shared" si="11"/>
        <v/>
      </c>
      <c r="Z87" s="27" t="str">
        <f t="shared" si="12"/>
        <v/>
      </c>
      <c r="AA87" s="27" t="str">
        <f t="shared" si="13"/>
        <v/>
      </c>
      <c r="AB87" s="27" t="str">
        <f t="shared" si="14"/>
        <v/>
      </c>
      <c r="AC87" s="27" t="str">
        <f t="shared" si="15"/>
        <v/>
      </c>
      <c r="AD87" s="27" t="str">
        <f t="shared" si="16"/>
        <v/>
      </c>
      <c r="AE87" s="28" t="str">
        <f t="shared" si="10"/>
        <v/>
      </c>
    </row>
    <row r="88" spans="1:31" ht="15" customHeight="1">
      <c r="A88" s="3">
        <v>78</v>
      </c>
      <c r="B88" s="11" t="str">
        <f>IF('INTERACTION-PAGE'!B88="","",'INTERACTION-PAGE'!B88)</f>
        <v/>
      </c>
      <c r="C88" s="11" t="str">
        <f>IF('INTERACTION-PAGE'!C88="","",'INTERACTION-PAGE'!C88)</f>
        <v/>
      </c>
      <c r="D88" s="11" t="str">
        <f>IF('INTERACTION-PAGE'!D88="","",'INTERACTION-PAGE'!D88)</f>
        <v/>
      </c>
      <c r="E88" s="11" t="str">
        <f>IF('INTERACTION-PAGE'!E88="","",'INTERACTION-PAGE'!E88)</f>
        <v/>
      </c>
      <c r="F88" s="11" t="str">
        <f>IF('INTERACTION-PAGE'!F88="","",'INTERACTION-PAGE'!F88)</f>
        <v/>
      </c>
      <c r="G88" s="11" t="str">
        <f>IF('INTERACTION-PAGE'!G88="","",'INTERACTION-PAGE'!G88)</f>
        <v/>
      </c>
      <c r="H88" s="11" t="str">
        <f>IF('INTERACTION-PAGE'!H88="","",'INTERACTION-PAGE'!H88)</f>
        <v/>
      </c>
      <c r="I88" s="11" t="str">
        <f>IF('INTERACTION-PAGE'!I88="","",'INTERACTION-PAGE'!I88)</f>
        <v/>
      </c>
      <c r="J88" s="11" t="str">
        <f>IF('INTERACTION-PAGE'!J88="","",'INTERACTION-PAGE'!J88)</f>
        <v/>
      </c>
      <c r="K88" s="11" t="str">
        <f>IF('INTERACTION-PAGE'!K88="","",'INTERACTION-PAGE'!K88)</f>
        <v/>
      </c>
      <c r="L88" s="11" t="str">
        <f>IF('INTERACTION-PAGE'!L88="","",'INTERACTION-PAGE'!L88)</f>
        <v/>
      </c>
      <c r="M88" s="11" t="str">
        <f>IF('INTERACTION-PAGE'!M88="","",'INTERACTION-PAGE'!M88)</f>
        <v/>
      </c>
      <c r="N88" s="11" t="str">
        <f>IF('INTERACTION-PAGE'!N88="","",'INTERACTION-PAGE'!N88)</f>
        <v/>
      </c>
      <c r="O88" s="11" t="str">
        <f>IF('INTERACTION-PAGE'!O88="","",'INTERACTION-PAGE'!O88)</f>
        <v/>
      </c>
      <c r="P88" s="11" t="str">
        <f>IF('INTERACTION-PAGE'!P88="","",'INTERACTION-PAGE'!P88)</f>
        <v/>
      </c>
      <c r="Q88" s="11" t="str">
        <f>IF('INTERACTION-PAGE'!Q88="","",'INTERACTION-PAGE'!Q88)</f>
        <v/>
      </c>
      <c r="R88" s="11" t="str">
        <f>IF('INTERACTION-PAGE'!R88="","",'INTERACTION-PAGE'!R88)</f>
        <v/>
      </c>
      <c r="S88" s="11" t="str">
        <f>IF('INTERACTION-PAGE'!S88="","",'INTERACTION-PAGE'!S88)</f>
        <v/>
      </c>
      <c r="T88" s="11" t="str">
        <f>IF('INTERACTION-PAGE'!T88="","",'INTERACTION-PAGE'!T88)</f>
        <v/>
      </c>
      <c r="U88" s="11" t="str">
        <f>IF('INTERACTION-PAGE'!U88="","",'INTERACTION-PAGE'!U88)</f>
        <v/>
      </c>
      <c r="V88" s="11" t="str">
        <f>IF('INTERACTION-PAGE'!V88="","",'INTERACTION-PAGE'!V88)</f>
        <v/>
      </c>
      <c r="W88" s="11" t="str">
        <f>IF('INTERACTION-PAGE'!W88="","",'INTERACTION-PAGE'!W88)</f>
        <v/>
      </c>
      <c r="X88" s="11" t="str">
        <f>IF('INTERACTION-PAGE'!X88="","",'INTERACTION-PAGE'!X88)</f>
        <v/>
      </c>
      <c r="Y88" s="27" t="str">
        <f t="shared" si="11"/>
        <v/>
      </c>
      <c r="Z88" s="27" t="str">
        <f t="shared" si="12"/>
        <v/>
      </c>
      <c r="AA88" s="27" t="str">
        <f t="shared" si="13"/>
        <v/>
      </c>
      <c r="AB88" s="27" t="str">
        <f t="shared" si="14"/>
        <v/>
      </c>
      <c r="AC88" s="27" t="str">
        <f t="shared" si="15"/>
        <v/>
      </c>
      <c r="AD88" s="27" t="str">
        <f t="shared" si="16"/>
        <v/>
      </c>
      <c r="AE88" s="28" t="str">
        <f t="shared" si="10"/>
        <v/>
      </c>
    </row>
    <row r="89" spans="1:31" ht="15" customHeight="1">
      <c r="A89" s="2">
        <v>79</v>
      </c>
      <c r="B89" s="11" t="str">
        <f>IF('INTERACTION-PAGE'!B89="","",'INTERACTION-PAGE'!B89)</f>
        <v/>
      </c>
      <c r="C89" s="11" t="str">
        <f>IF('INTERACTION-PAGE'!C89="","",'INTERACTION-PAGE'!C89)</f>
        <v/>
      </c>
      <c r="D89" s="11" t="str">
        <f>IF('INTERACTION-PAGE'!D89="","",'INTERACTION-PAGE'!D89)</f>
        <v/>
      </c>
      <c r="E89" s="11" t="str">
        <f>IF('INTERACTION-PAGE'!E89="","",'INTERACTION-PAGE'!E89)</f>
        <v/>
      </c>
      <c r="F89" s="11" t="str">
        <f>IF('INTERACTION-PAGE'!F89="","",'INTERACTION-PAGE'!F89)</f>
        <v/>
      </c>
      <c r="G89" s="11" t="str">
        <f>IF('INTERACTION-PAGE'!G89="","",'INTERACTION-PAGE'!G89)</f>
        <v/>
      </c>
      <c r="H89" s="11" t="str">
        <f>IF('INTERACTION-PAGE'!H89="","",'INTERACTION-PAGE'!H89)</f>
        <v/>
      </c>
      <c r="I89" s="11" t="str">
        <f>IF('INTERACTION-PAGE'!I89="","",'INTERACTION-PAGE'!I89)</f>
        <v/>
      </c>
      <c r="J89" s="11" t="str">
        <f>IF('INTERACTION-PAGE'!J89="","",'INTERACTION-PAGE'!J89)</f>
        <v/>
      </c>
      <c r="K89" s="11" t="str">
        <f>IF('INTERACTION-PAGE'!K89="","",'INTERACTION-PAGE'!K89)</f>
        <v/>
      </c>
      <c r="L89" s="11" t="str">
        <f>IF('INTERACTION-PAGE'!L89="","",'INTERACTION-PAGE'!L89)</f>
        <v/>
      </c>
      <c r="M89" s="11" t="str">
        <f>IF('INTERACTION-PAGE'!M89="","",'INTERACTION-PAGE'!M89)</f>
        <v/>
      </c>
      <c r="N89" s="11" t="str">
        <f>IF('INTERACTION-PAGE'!N89="","",'INTERACTION-PAGE'!N89)</f>
        <v/>
      </c>
      <c r="O89" s="11" t="str">
        <f>IF('INTERACTION-PAGE'!O89="","",'INTERACTION-PAGE'!O89)</f>
        <v/>
      </c>
      <c r="P89" s="11" t="str">
        <f>IF('INTERACTION-PAGE'!P89="","",'INTERACTION-PAGE'!P89)</f>
        <v/>
      </c>
      <c r="Q89" s="11" t="str">
        <f>IF('INTERACTION-PAGE'!Q89="","",'INTERACTION-PAGE'!Q89)</f>
        <v/>
      </c>
      <c r="R89" s="11" t="str">
        <f>IF('INTERACTION-PAGE'!R89="","",'INTERACTION-PAGE'!R89)</f>
        <v/>
      </c>
      <c r="S89" s="11" t="str">
        <f>IF('INTERACTION-PAGE'!S89="","",'INTERACTION-PAGE'!S89)</f>
        <v/>
      </c>
      <c r="T89" s="11" t="str">
        <f>IF('INTERACTION-PAGE'!T89="","",'INTERACTION-PAGE'!T89)</f>
        <v/>
      </c>
      <c r="U89" s="11" t="str">
        <f>IF('INTERACTION-PAGE'!U89="","",'INTERACTION-PAGE'!U89)</f>
        <v/>
      </c>
      <c r="V89" s="11" t="str">
        <f>IF('INTERACTION-PAGE'!V89="","",'INTERACTION-PAGE'!V89)</f>
        <v/>
      </c>
      <c r="W89" s="11" t="str">
        <f>IF('INTERACTION-PAGE'!W89="","",'INTERACTION-PAGE'!W89)</f>
        <v/>
      </c>
      <c r="X89" s="11" t="str">
        <f>IF('INTERACTION-PAGE'!X89="","",'INTERACTION-PAGE'!X89)</f>
        <v/>
      </c>
      <c r="Y89" s="27" t="str">
        <f t="shared" si="11"/>
        <v/>
      </c>
      <c r="Z89" s="27" t="str">
        <f t="shared" si="12"/>
        <v/>
      </c>
      <c r="AA89" s="27" t="str">
        <f t="shared" si="13"/>
        <v/>
      </c>
      <c r="AB89" s="27" t="str">
        <f t="shared" si="14"/>
        <v/>
      </c>
      <c r="AC89" s="27" t="str">
        <f t="shared" si="15"/>
        <v/>
      </c>
      <c r="AD89" s="27" t="str">
        <f t="shared" si="16"/>
        <v/>
      </c>
      <c r="AE89" s="28" t="str">
        <f t="shared" si="10"/>
        <v/>
      </c>
    </row>
    <row r="90" spans="1:31" ht="15" customHeight="1">
      <c r="A90" s="3">
        <v>80</v>
      </c>
      <c r="B90" s="11" t="str">
        <f>IF('INTERACTION-PAGE'!B90="","",'INTERACTION-PAGE'!B90)</f>
        <v/>
      </c>
      <c r="C90" s="11" t="str">
        <f>IF('INTERACTION-PAGE'!C90="","",'INTERACTION-PAGE'!C90)</f>
        <v/>
      </c>
      <c r="D90" s="11" t="str">
        <f>IF('INTERACTION-PAGE'!D90="","",'INTERACTION-PAGE'!D90)</f>
        <v/>
      </c>
      <c r="E90" s="11" t="str">
        <f>IF('INTERACTION-PAGE'!E90="","",'INTERACTION-PAGE'!E90)</f>
        <v/>
      </c>
      <c r="F90" s="11" t="str">
        <f>IF('INTERACTION-PAGE'!F90="","",'INTERACTION-PAGE'!F90)</f>
        <v/>
      </c>
      <c r="G90" s="11" t="str">
        <f>IF('INTERACTION-PAGE'!G90="","",'INTERACTION-PAGE'!G90)</f>
        <v/>
      </c>
      <c r="H90" s="11" t="str">
        <f>IF('INTERACTION-PAGE'!H90="","",'INTERACTION-PAGE'!H90)</f>
        <v/>
      </c>
      <c r="I90" s="11" t="str">
        <f>IF('INTERACTION-PAGE'!I90="","",'INTERACTION-PAGE'!I90)</f>
        <v/>
      </c>
      <c r="J90" s="11" t="str">
        <f>IF('INTERACTION-PAGE'!J90="","",'INTERACTION-PAGE'!J90)</f>
        <v/>
      </c>
      <c r="K90" s="11" t="str">
        <f>IF('INTERACTION-PAGE'!K90="","",'INTERACTION-PAGE'!K90)</f>
        <v/>
      </c>
      <c r="L90" s="11" t="str">
        <f>IF('INTERACTION-PAGE'!L90="","",'INTERACTION-PAGE'!L90)</f>
        <v/>
      </c>
      <c r="M90" s="11" t="str">
        <f>IF('INTERACTION-PAGE'!M90="","",'INTERACTION-PAGE'!M90)</f>
        <v/>
      </c>
      <c r="N90" s="11" t="str">
        <f>IF('INTERACTION-PAGE'!N90="","",'INTERACTION-PAGE'!N90)</f>
        <v/>
      </c>
      <c r="O90" s="11" t="str">
        <f>IF('INTERACTION-PAGE'!O90="","",'INTERACTION-PAGE'!O90)</f>
        <v/>
      </c>
      <c r="P90" s="11" t="str">
        <f>IF('INTERACTION-PAGE'!P90="","",'INTERACTION-PAGE'!P90)</f>
        <v/>
      </c>
      <c r="Q90" s="11" t="str">
        <f>IF('INTERACTION-PAGE'!Q90="","",'INTERACTION-PAGE'!Q90)</f>
        <v/>
      </c>
      <c r="R90" s="11" t="str">
        <f>IF('INTERACTION-PAGE'!R90="","",'INTERACTION-PAGE'!R90)</f>
        <v/>
      </c>
      <c r="S90" s="11" t="str">
        <f>IF('INTERACTION-PAGE'!S90="","",'INTERACTION-PAGE'!S90)</f>
        <v/>
      </c>
      <c r="T90" s="11" t="str">
        <f>IF('INTERACTION-PAGE'!T90="","",'INTERACTION-PAGE'!T90)</f>
        <v/>
      </c>
      <c r="U90" s="11" t="str">
        <f>IF('INTERACTION-PAGE'!U90="","",'INTERACTION-PAGE'!U90)</f>
        <v/>
      </c>
      <c r="V90" s="11" t="str">
        <f>IF('INTERACTION-PAGE'!V90="","",'INTERACTION-PAGE'!V90)</f>
        <v/>
      </c>
      <c r="W90" s="11" t="str">
        <f>IF('INTERACTION-PAGE'!W90="","",'INTERACTION-PAGE'!W90)</f>
        <v/>
      </c>
      <c r="X90" s="11" t="str">
        <f>IF('INTERACTION-PAGE'!X90="","",'INTERACTION-PAGE'!X90)</f>
        <v/>
      </c>
      <c r="Y90" s="27" t="str">
        <f t="shared" si="11"/>
        <v/>
      </c>
      <c r="Z90" s="27" t="str">
        <f t="shared" si="12"/>
        <v/>
      </c>
      <c r="AA90" s="27" t="str">
        <f t="shared" si="13"/>
        <v/>
      </c>
      <c r="AB90" s="27" t="str">
        <f t="shared" si="14"/>
        <v/>
      </c>
      <c r="AC90" s="27" t="str">
        <f t="shared" si="15"/>
        <v/>
      </c>
      <c r="AD90" s="27" t="str">
        <f t="shared" si="16"/>
        <v/>
      </c>
      <c r="AE90" s="28" t="str">
        <f t="shared" si="10"/>
        <v/>
      </c>
    </row>
    <row r="91" spans="1:31" ht="15" customHeight="1">
      <c r="A91" s="2">
        <v>81</v>
      </c>
      <c r="B91" s="11" t="str">
        <f>IF('INTERACTION-PAGE'!B91="","",'INTERACTION-PAGE'!B91)</f>
        <v/>
      </c>
      <c r="C91" s="11" t="str">
        <f>IF('INTERACTION-PAGE'!C91="","",'INTERACTION-PAGE'!C91)</f>
        <v/>
      </c>
      <c r="D91" s="11" t="str">
        <f>IF('INTERACTION-PAGE'!D91="","",'INTERACTION-PAGE'!D91)</f>
        <v/>
      </c>
      <c r="E91" s="11" t="str">
        <f>IF('INTERACTION-PAGE'!E91="","",'INTERACTION-PAGE'!E91)</f>
        <v/>
      </c>
      <c r="F91" s="11" t="str">
        <f>IF('INTERACTION-PAGE'!F91="","",'INTERACTION-PAGE'!F91)</f>
        <v/>
      </c>
      <c r="G91" s="11" t="str">
        <f>IF('INTERACTION-PAGE'!G91="","",'INTERACTION-PAGE'!G91)</f>
        <v/>
      </c>
      <c r="H91" s="11" t="str">
        <f>IF('INTERACTION-PAGE'!H91="","",'INTERACTION-PAGE'!H91)</f>
        <v/>
      </c>
      <c r="I91" s="11" t="str">
        <f>IF('INTERACTION-PAGE'!I91="","",'INTERACTION-PAGE'!I91)</f>
        <v/>
      </c>
      <c r="J91" s="11" t="str">
        <f>IF('INTERACTION-PAGE'!J91="","",'INTERACTION-PAGE'!J91)</f>
        <v/>
      </c>
      <c r="K91" s="11" t="str">
        <f>IF('INTERACTION-PAGE'!K91="","",'INTERACTION-PAGE'!K91)</f>
        <v/>
      </c>
      <c r="L91" s="11" t="str">
        <f>IF('INTERACTION-PAGE'!L91="","",'INTERACTION-PAGE'!L91)</f>
        <v/>
      </c>
      <c r="M91" s="11" t="str">
        <f>IF('INTERACTION-PAGE'!M91="","",'INTERACTION-PAGE'!M91)</f>
        <v/>
      </c>
      <c r="N91" s="11" t="str">
        <f>IF('INTERACTION-PAGE'!N91="","",'INTERACTION-PAGE'!N91)</f>
        <v/>
      </c>
      <c r="O91" s="11" t="str">
        <f>IF('INTERACTION-PAGE'!O91="","",'INTERACTION-PAGE'!O91)</f>
        <v/>
      </c>
      <c r="P91" s="11" t="str">
        <f>IF('INTERACTION-PAGE'!P91="","",'INTERACTION-PAGE'!P91)</f>
        <v/>
      </c>
      <c r="Q91" s="11" t="str">
        <f>IF('INTERACTION-PAGE'!Q91="","",'INTERACTION-PAGE'!Q91)</f>
        <v/>
      </c>
      <c r="R91" s="11" t="str">
        <f>IF('INTERACTION-PAGE'!R91="","",'INTERACTION-PAGE'!R91)</f>
        <v/>
      </c>
      <c r="S91" s="11" t="str">
        <f>IF('INTERACTION-PAGE'!S91="","",'INTERACTION-PAGE'!S91)</f>
        <v/>
      </c>
      <c r="T91" s="11" t="str">
        <f>IF('INTERACTION-PAGE'!T91="","",'INTERACTION-PAGE'!T91)</f>
        <v/>
      </c>
      <c r="U91" s="11" t="str">
        <f>IF('INTERACTION-PAGE'!U91="","",'INTERACTION-PAGE'!U91)</f>
        <v/>
      </c>
      <c r="V91" s="11" t="str">
        <f>IF('INTERACTION-PAGE'!V91="","",'INTERACTION-PAGE'!V91)</f>
        <v/>
      </c>
      <c r="W91" s="11" t="str">
        <f>IF('INTERACTION-PAGE'!W91="","",'INTERACTION-PAGE'!W91)</f>
        <v/>
      </c>
      <c r="X91" s="11" t="str">
        <f>IF('INTERACTION-PAGE'!X91="","",'INTERACTION-PAGE'!X91)</f>
        <v/>
      </c>
      <c r="Y91" s="27" t="str">
        <f t="shared" si="11"/>
        <v/>
      </c>
      <c r="Z91" s="27" t="str">
        <f t="shared" si="12"/>
        <v/>
      </c>
      <c r="AA91" s="27" t="str">
        <f t="shared" si="13"/>
        <v/>
      </c>
      <c r="AB91" s="27" t="str">
        <f t="shared" si="14"/>
        <v/>
      </c>
      <c r="AC91" s="27" t="str">
        <f t="shared" si="15"/>
        <v/>
      </c>
      <c r="AD91" s="27" t="str">
        <f t="shared" si="16"/>
        <v/>
      </c>
      <c r="AE91" s="28" t="str">
        <f t="shared" si="10"/>
        <v/>
      </c>
    </row>
    <row r="92" spans="1:31" ht="15" customHeight="1">
      <c r="A92" s="3">
        <v>82</v>
      </c>
      <c r="B92" s="11" t="str">
        <f>IF('INTERACTION-PAGE'!B92="","",'INTERACTION-PAGE'!B92)</f>
        <v/>
      </c>
      <c r="C92" s="11" t="str">
        <f>IF('INTERACTION-PAGE'!C92="","",'INTERACTION-PAGE'!C92)</f>
        <v/>
      </c>
      <c r="D92" s="11" t="str">
        <f>IF('INTERACTION-PAGE'!D92="","",'INTERACTION-PAGE'!D92)</f>
        <v/>
      </c>
      <c r="E92" s="11" t="str">
        <f>IF('INTERACTION-PAGE'!E92="","",'INTERACTION-PAGE'!E92)</f>
        <v/>
      </c>
      <c r="F92" s="11" t="str">
        <f>IF('INTERACTION-PAGE'!F92="","",'INTERACTION-PAGE'!F92)</f>
        <v/>
      </c>
      <c r="G92" s="11" t="str">
        <f>IF('INTERACTION-PAGE'!G92="","",'INTERACTION-PAGE'!G92)</f>
        <v/>
      </c>
      <c r="H92" s="11" t="str">
        <f>IF('INTERACTION-PAGE'!H92="","",'INTERACTION-PAGE'!H92)</f>
        <v/>
      </c>
      <c r="I92" s="11" t="str">
        <f>IF('INTERACTION-PAGE'!I92="","",'INTERACTION-PAGE'!I92)</f>
        <v/>
      </c>
      <c r="J92" s="11" t="str">
        <f>IF('INTERACTION-PAGE'!J92="","",'INTERACTION-PAGE'!J92)</f>
        <v/>
      </c>
      <c r="K92" s="11" t="str">
        <f>IF('INTERACTION-PAGE'!K92="","",'INTERACTION-PAGE'!K92)</f>
        <v/>
      </c>
      <c r="L92" s="11" t="str">
        <f>IF('INTERACTION-PAGE'!L92="","",'INTERACTION-PAGE'!L92)</f>
        <v/>
      </c>
      <c r="M92" s="11" t="str">
        <f>IF('INTERACTION-PAGE'!M92="","",'INTERACTION-PAGE'!M92)</f>
        <v/>
      </c>
      <c r="N92" s="11" t="str">
        <f>IF('INTERACTION-PAGE'!N92="","",'INTERACTION-PAGE'!N92)</f>
        <v/>
      </c>
      <c r="O92" s="11" t="str">
        <f>IF('INTERACTION-PAGE'!O92="","",'INTERACTION-PAGE'!O92)</f>
        <v/>
      </c>
      <c r="P92" s="11" t="str">
        <f>IF('INTERACTION-PAGE'!P92="","",'INTERACTION-PAGE'!P92)</f>
        <v/>
      </c>
      <c r="Q92" s="11" t="str">
        <f>IF('INTERACTION-PAGE'!Q92="","",'INTERACTION-PAGE'!Q92)</f>
        <v/>
      </c>
      <c r="R92" s="11" t="str">
        <f>IF('INTERACTION-PAGE'!R92="","",'INTERACTION-PAGE'!R92)</f>
        <v/>
      </c>
      <c r="S92" s="11" t="str">
        <f>IF('INTERACTION-PAGE'!S92="","",'INTERACTION-PAGE'!S92)</f>
        <v/>
      </c>
      <c r="T92" s="11" t="str">
        <f>IF('INTERACTION-PAGE'!T92="","",'INTERACTION-PAGE'!T92)</f>
        <v/>
      </c>
      <c r="U92" s="11" t="str">
        <f>IF('INTERACTION-PAGE'!U92="","",'INTERACTION-PAGE'!U92)</f>
        <v/>
      </c>
      <c r="V92" s="11" t="str">
        <f>IF('INTERACTION-PAGE'!V92="","",'INTERACTION-PAGE'!V92)</f>
        <v/>
      </c>
      <c r="W92" s="11" t="str">
        <f>IF('INTERACTION-PAGE'!W92="","",'INTERACTION-PAGE'!W92)</f>
        <v/>
      </c>
      <c r="X92" s="11" t="str">
        <f>IF('INTERACTION-PAGE'!X92="","",'INTERACTION-PAGE'!X92)</f>
        <v/>
      </c>
      <c r="Y92" s="27" t="str">
        <f t="shared" si="11"/>
        <v/>
      </c>
      <c r="Z92" s="27" t="str">
        <f t="shared" si="12"/>
        <v/>
      </c>
      <c r="AA92" s="27" t="str">
        <f t="shared" si="13"/>
        <v/>
      </c>
      <c r="AB92" s="27" t="str">
        <f t="shared" si="14"/>
        <v/>
      </c>
      <c r="AC92" s="27" t="str">
        <f t="shared" si="15"/>
        <v/>
      </c>
      <c r="AD92" s="27" t="str">
        <f t="shared" si="16"/>
        <v/>
      </c>
      <c r="AE92" s="28" t="str">
        <f t="shared" si="10"/>
        <v/>
      </c>
    </row>
    <row r="93" spans="1:31" ht="15" customHeight="1">
      <c r="A93" s="2">
        <v>83</v>
      </c>
      <c r="B93" s="11" t="str">
        <f>IF('INTERACTION-PAGE'!B93="","",'INTERACTION-PAGE'!B93)</f>
        <v/>
      </c>
      <c r="C93" s="11" t="str">
        <f>IF('INTERACTION-PAGE'!C93="","",'INTERACTION-PAGE'!C93)</f>
        <v/>
      </c>
      <c r="D93" s="11" t="str">
        <f>IF('INTERACTION-PAGE'!D93="","",'INTERACTION-PAGE'!D93)</f>
        <v/>
      </c>
      <c r="E93" s="11" t="str">
        <f>IF('INTERACTION-PAGE'!E93="","",'INTERACTION-PAGE'!E93)</f>
        <v/>
      </c>
      <c r="F93" s="11" t="str">
        <f>IF('INTERACTION-PAGE'!F93="","",'INTERACTION-PAGE'!F93)</f>
        <v/>
      </c>
      <c r="G93" s="11" t="str">
        <f>IF('INTERACTION-PAGE'!G93="","",'INTERACTION-PAGE'!G93)</f>
        <v/>
      </c>
      <c r="H93" s="11" t="str">
        <f>IF('INTERACTION-PAGE'!H93="","",'INTERACTION-PAGE'!H93)</f>
        <v/>
      </c>
      <c r="I93" s="11" t="str">
        <f>IF('INTERACTION-PAGE'!I93="","",'INTERACTION-PAGE'!I93)</f>
        <v/>
      </c>
      <c r="J93" s="11" t="str">
        <f>IF('INTERACTION-PAGE'!J93="","",'INTERACTION-PAGE'!J93)</f>
        <v/>
      </c>
      <c r="K93" s="11" t="str">
        <f>IF('INTERACTION-PAGE'!K93="","",'INTERACTION-PAGE'!K93)</f>
        <v/>
      </c>
      <c r="L93" s="11" t="str">
        <f>IF('INTERACTION-PAGE'!L93="","",'INTERACTION-PAGE'!L93)</f>
        <v/>
      </c>
      <c r="M93" s="11" t="str">
        <f>IF('INTERACTION-PAGE'!M93="","",'INTERACTION-PAGE'!M93)</f>
        <v/>
      </c>
      <c r="N93" s="11" t="str">
        <f>IF('INTERACTION-PAGE'!N93="","",'INTERACTION-PAGE'!N93)</f>
        <v/>
      </c>
      <c r="O93" s="11" t="str">
        <f>IF('INTERACTION-PAGE'!O93="","",'INTERACTION-PAGE'!O93)</f>
        <v/>
      </c>
      <c r="P93" s="11" t="str">
        <f>IF('INTERACTION-PAGE'!P93="","",'INTERACTION-PAGE'!P93)</f>
        <v/>
      </c>
      <c r="Q93" s="11" t="str">
        <f>IF('INTERACTION-PAGE'!Q93="","",'INTERACTION-PAGE'!Q93)</f>
        <v/>
      </c>
      <c r="R93" s="11" t="str">
        <f>IF('INTERACTION-PAGE'!R93="","",'INTERACTION-PAGE'!R93)</f>
        <v/>
      </c>
      <c r="S93" s="11" t="str">
        <f>IF('INTERACTION-PAGE'!S93="","",'INTERACTION-PAGE'!S93)</f>
        <v/>
      </c>
      <c r="T93" s="11" t="str">
        <f>IF('INTERACTION-PAGE'!T93="","",'INTERACTION-PAGE'!T93)</f>
        <v/>
      </c>
      <c r="U93" s="11" t="str">
        <f>IF('INTERACTION-PAGE'!U93="","",'INTERACTION-PAGE'!U93)</f>
        <v/>
      </c>
      <c r="V93" s="11" t="str">
        <f>IF('INTERACTION-PAGE'!V93="","",'INTERACTION-PAGE'!V93)</f>
        <v/>
      </c>
      <c r="W93" s="11" t="str">
        <f>IF('INTERACTION-PAGE'!W93="","",'INTERACTION-PAGE'!W93)</f>
        <v/>
      </c>
      <c r="X93" s="11" t="str">
        <f>IF('INTERACTION-PAGE'!X93="","",'INTERACTION-PAGE'!X93)</f>
        <v/>
      </c>
      <c r="Y93" s="27" t="str">
        <f t="shared" si="11"/>
        <v/>
      </c>
      <c r="Z93" s="27" t="str">
        <f t="shared" si="12"/>
        <v/>
      </c>
      <c r="AA93" s="27" t="str">
        <f t="shared" si="13"/>
        <v/>
      </c>
      <c r="AB93" s="27" t="str">
        <f t="shared" si="14"/>
        <v/>
      </c>
      <c r="AC93" s="27" t="str">
        <f t="shared" si="15"/>
        <v/>
      </c>
      <c r="AD93" s="27" t="str">
        <f t="shared" si="16"/>
        <v/>
      </c>
      <c r="AE93" s="28" t="str">
        <f t="shared" si="10"/>
        <v/>
      </c>
    </row>
    <row r="94" spans="1:31" ht="15" customHeight="1">
      <c r="A94" s="3">
        <v>84</v>
      </c>
      <c r="B94" s="11" t="str">
        <f>IF('INTERACTION-PAGE'!B94="","",'INTERACTION-PAGE'!B94)</f>
        <v/>
      </c>
      <c r="C94" s="11" t="str">
        <f>IF('INTERACTION-PAGE'!C94="","",'INTERACTION-PAGE'!C94)</f>
        <v/>
      </c>
      <c r="D94" s="11" t="str">
        <f>IF('INTERACTION-PAGE'!D94="","",'INTERACTION-PAGE'!D94)</f>
        <v/>
      </c>
      <c r="E94" s="11" t="str">
        <f>IF('INTERACTION-PAGE'!E94="","",'INTERACTION-PAGE'!E94)</f>
        <v/>
      </c>
      <c r="F94" s="11" t="str">
        <f>IF('INTERACTION-PAGE'!F94="","",'INTERACTION-PAGE'!F94)</f>
        <v/>
      </c>
      <c r="G94" s="11" t="str">
        <f>IF('INTERACTION-PAGE'!G94="","",'INTERACTION-PAGE'!G94)</f>
        <v/>
      </c>
      <c r="H94" s="11" t="str">
        <f>IF('INTERACTION-PAGE'!H94="","",'INTERACTION-PAGE'!H94)</f>
        <v/>
      </c>
      <c r="I94" s="11" t="str">
        <f>IF('INTERACTION-PAGE'!I94="","",'INTERACTION-PAGE'!I94)</f>
        <v/>
      </c>
      <c r="J94" s="11" t="str">
        <f>IF('INTERACTION-PAGE'!J94="","",'INTERACTION-PAGE'!J94)</f>
        <v/>
      </c>
      <c r="K94" s="11" t="str">
        <f>IF('INTERACTION-PAGE'!K94="","",'INTERACTION-PAGE'!K94)</f>
        <v/>
      </c>
      <c r="L94" s="11" t="str">
        <f>IF('INTERACTION-PAGE'!L94="","",'INTERACTION-PAGE'!L94)</f>
        <v/>
      </c>
      <c r="M94" s="11" t="str">
        <f>IF('INTERACTION-PAGE'!M94="","",'INTERACTION-PAGE'!M94)</f>
        <v/>
      </c>
      <c r="N94" s="11" t="str">
        <f>IF('INTERACTION-PAGE'!N94="","",'INTERACTION-PAGE'!N94)</f>
        <v/>
      </c>
      <c r="O94" s="11" t="str">
        <f>IF('INTERACTION-PAGE'!O94="","",'INTERACTION-PAGE'!O94)</f>
        <v/>
      </c>
      <c r="P94" s="11" t="str">
        <f>IF('INTERACTION-PAGE'!P94="","",'INTERACTION-PAGE'!P94)</f>
        <v/>
      </c>
      <c r="Q94" s="11" t="str">
        <f>IF('INTERACTION-PAGE'!Q94="","",'INTERACTION-PAGE'!Q94)</f>
        <v/>
      </c>
      <c r="R94" s="11" t="str">
        <f>IF('INTERACTION-PAGE'!R94="","",'INTERACTION-PAGE'!R94)</f>
        <v/>
      </c>
      <c r="S94" s="11" t="str">
        <f>IF('INTERACTION-PAGE'!S94="","",'INTERACTION-PAGE'!S94)</f>
        <v/>
      </c>
      <c r="T94" s="11" t="str">
        <f>IF('INTERACTION-PAGE'!T94="","",'INTERACTION-PAGE'!T94)</f>
        <v/>
      </c>
      <c r="U94" s="11" t="str">
        <f>IF('INTERACTION-PAGE'!U94="","",'INTERACTION-PAGE'!U94)</f>
        <v/>
      </c>
      <c r="V94" s="11" t="str">
        <f>IF('INTERACTION-PAGE'!V94="","",'INTERACTION-PAGE'!V94)</f>
        <v/>
      </c>
      <c r="W94" s="11" t="str">
        <f>IF('INTERACTION-PAGE'!W94="","",'INTERACTION-PAGE'!W94)</f>
        <v/>
      </c>
      <c r="X94" s="11" t="str">
        <f>IF('INTERACTION-PAGE'!X94="","",'INTERACTION-PAGE'!X94)</f>
        <v/>
      </c>
      <c r="Y94" s="27" t="str">
        <f t="shared" si="11"/>
        <v/>
      </c>
      <c r="Z94" s="27" t="str">
        <f t="shared" si="12"/>
        <v/>
      </c>
      <c r="AA94" s="27" t="str">
        <f t="shared" si="13"/>
        <v/>
      </c>
      <c r="AB94" s="27" t="str">
        <f t="shared" si="14"/>
        <v/>
      </c>
      <c r="AC94" s="27" t="str">
        <f t="shared" si="15"/>
        <v/>
      </c>
      <c r="AD94" s="27" t="str">
        <f t="shared" si="16"/>
        <v/>
      </c>
      <c r="AE94" s="28" t="str">
        <f t="shared" si="10"/>
        <v/>
      </c>
    </row>
    <row r="95" spans="1:31" ht="15" customHeight="1">
      <c r="A95" s="2">
        <v>85</v>
      </c>
      <c r="B95" s="11" t="str">
        <f>IF('INTERACTION-PAGE'!B95="","",'INTERACTION-PAGE'!B95)</f>
        <v/>
      </c>
      <c r="C95" s="11" t="str">
        <f>IF('INTERACTION-PAGE'!C95="","",'INTERACTION-PAGE'!C95)</f>
        <v/>
      </c>
      <c r="D95" s="11" t="str">
        <f>IF('INTERACTION-PAGE'!D95="","",'INTERACTION-PAGE'!D95)</f>
        <v/>
      </c>
      <c r="E95" s="11" t="str">
        <f>IF('INTERACTION-PAGE'!E95="","",'INTERACTION-PAGE'!E95)</f>
        <v/>
      </c>
      <c r="F95" s="11" t="str">
        <f>IF('INTERACTION-PAGE'!F95="","",'INTERACTION-PAGE'!F95)</f>
        <v/>
      </c>
      <c r="G95" s="11" t="str">
        <f>IF('INTERACTION-PAGE'!G95="","",'INTERACTION-PAGE'!G95)</f>
        <v/>
      </c>
      <c r="H95" s="11" t="str">
        <f>IF('INTERACTION-PAGE'!H95="","",'INTERACTION-PAGE'!H95)</f>
        <v/>
      </c>
      <c r="I95" s="11" t="str">
        <f>IF('INTERACTION-PAGE'!I95="","",'INTERACTION-PAGE'!I95)</f>
        <v/>
      </c>
      <c r="J95" s="11" t="str">
        <f>IF('INTERACTION-PAGE'!J95="","",'INTERACTION-PAGE'!J95)</f>
        <v/>
      </c>
      <c r="K95" s="11" t="str">
        <f>IF('INTERACTION-PAGE'!K95="","",'INTERACTION-PAGE'!K95)</f>
        <v/>
      </c>
      <c r="L95" s="11" t="str">
        <f>IF('INTERACTION-PAGE'!L95="","",'INTERACTION-PAGE'!L95)</f>
        <v/>
      </c>
      <c r="M95" s="11" t="str">
        <f>IF('INTERACTION-PAGE'!M95="","",'INTERACTION-PAGE'!M95)</f>
        <v/>
      </c>
      <c r="N95" s="11" t="str">
        <f>IF('INTERACTION-PAGE'!N95="","",'INTERACTION-PAGE'!N95)</f>
        <v/>
      </c>
      <c r="O95" s="11" t="str">
        <f>IF('INTERACTION-PAGE'!O95="","",'INTERACTION-PAGE'!O95)</f>
        <v/>
      </c>
      <c r="P95" s="11" t="str">
        <f>IF('INTERACTION-PAGE'!P95="","",'INTERACTION-PAGE'!P95)</f>
        <v/>
      </c>
      <c r="Q95" s="11" t="str">
        <f>IF('INTERACTION-PAGE'!Q95="","",'INTERACTION-PAGE'!Q95)</f>
        <v/>
      </c>
      <c r="R95" s="11" t="str">
        <f>IF('INTERACTION-PAGE'!R95="","",'INTERACTION-PAGE'!R95)</f>
        <v/>
      </c>
      <c r="S95" s="11" t="str">
        <f>IF('INTERACTION-PAGE'!S95="","",'INTERACTION-PAGE'!S95)</f>
        <v/>
      </c>
      <c r="T95" s="11" t="str">
        <f>IF('INTERACTION-PAGE'!T95="","",'INTERACTION-PAGE'!T95)</f>
        <v/>
      </c>
      <c r="U95" s="11" t="str">
        <f>IF('INTERACTION-PAGE'!U95="","",'INTERACTION-PAGE'!U95)</f>
        <v/>
      </c>
      <c r="V95" s="11" t="str">
        <f>IF('INTERACTION-PAGE'!V95="","",'INTERACTION-PAGE'!V95)</f>
        <v/>
      </c>
      <c r="W95" s="11" t="str">
        <f>IF('INTERACTION-PAGE'!W95="","",'INTERACTION-PAGE'!W95)</f>
        <v/>
      </c>
      <c r="X95" s="11" t="str">
        <f>IF('INTERACTION-PAGE'!X95="","",'INTERACTION-PAGE'!X95)</f>
        <v/>
      </c>
      <c r="Y95" s="27" t="str">
        <f t="shared" si="11"/>
        <v/>
      </c>
      <c r="Z95" s="27" t="str">
        <f t="shared" si="12"/>
        <v/>
      </c>
      <c r="AA95" s="27" t="str">
        <f t="shared" si="13"/>
        <v/>
      </c>
      <c r="AB95" s="27" t="str">
        <f t="shared" si="14"/>
        <v/>
      </c>
      <c r="AC95" s="27" t="str">
        <f t="shared" si="15"/>
        <v/>
      </c>
      <c r="AD95" s="27" t="str">
        <f t="shared" si="16"/>
        <v/>
      </c>
      <c r="AE95" s="28" t="str">
        <f t="shared" si="10"/>
        <v/>
      </c>
    </row>
    <row r="96" spans="1:31" ht="15" customHeight="1">
      <c r="A96" s="3">
        <v>86</v>
      </c>
      <c r="B96" s="11" t="str">
        <f>IF('INTERACTION-PAGE'!B96="","",'INTERACTION-PAGE'!B96)</f>
        <v/>
      </c>
      <c r="C96" s="11" t="str">
        <f>IF('INTERACTION-PAGE'!C96="","",'INTERACTION-PAGE'!C96)</f>
        <v/>
      </c>
      <c r="D96" s="11" t="str">
        <f>IF('INTERACTION-PAGE'!D96="","",'INTERACTION-PAGE'!D96)</f>
        <v/>
      </c>
      <c r="E96" s="11" t="str">
        <f>IF('INTERACTION-PAGE'!E96="","",'INTERACTION-PAGE'!E96)</f>
        <v/>
      </c>
      <c r="F96" s="11" t="str">
        <f>IF('INTERACTION-PAGE'!F96="","",'INTERACTION-PAGE'!F96)</f>
        <v/>
      </c>
      <c r="G96" s="11" t="str">
        <f>IF('INTERACTION-PAGE'!G96="","",'INTERACTION-PAGE'!G96)</f>
        <v/>
      </c>
      <c r="H96" s="11" t="str">
        <f>IF('INTERACTION-PAGE'!H96="","",'INTERACTION-PAGE'!H96)</f>
        <v/>
      </c>
      <c r="I96" s="11" t="str">
        <f>IF('INTERACTION-PAGE'!I96="","",'INTERACTION-PAGE'!I96)</f>
        <v/>
      </c>
      <c r="J96" s="11" t="str">
        <f>IF('INTERACTION-PAGE'!J96="","",'INTERACTION-PAGE'!J96)</f>
        <v/>
      </c>
      <c r="K96" s="11" t="str">
        <f>IF('INTERACTION-PAGE'!K96="","",'INTERACTION-PAGE'!K96)</f>
        <v/>
      </c>
      <c r="L96" s="11" t="str">
        <f>IF('INTERACTION-PAGE'!L96="","",'INTERACTION-PAGE'!L96)</f>
        <v/>
      </c>
      <c r="M96" s="11" t="str">
        <f>IF('INTERACTION-PAGE'!M96="","",'INTERACTION-PAGE'!M96)</f>
        <v/>
      </c>
      <c r="N96" s="11" t="str">
        <f>IF('INTERACTION-PAGE'!N96="","",'INTERACTION-PAGE'!N96)</f>
        <v/>
      </c>
      <c r="O96" s="11" t="str">
        <f>IF('INTERACTION-PAGE'!O96="","",'INTERACTION-PAGE'!O96)</f>
        <v/>
      </c>
      <c r="P96" s="11" t="str">
        <f>IF('INTERACTION-PAGE'!P96="","",'INTERACTION-PAGE'!P96)</f>
        <v/>
      </c>
      <c r="Q96" s="11" t="str">
        <f>IF('INTERACTION-PAGE'!Q96="","",'INTERACTION-PAGE'!Q96)</f>
        <v/>
      </c>
      <c r="R96" s="11" t="str">
        <f>IF('INTERACTION-PAGE'!R96="","",'INTERACTION-PAGE'!R96)</f>
        <v/>
      </c>
      <c r="S96" s="11" t="str">
        <f>IF('INTERACTION-PAGE'!S96="","",'INTERACTION-PAGE'!S96)</f>
        <v/>
      </c>
      <c r="T96" s="11" t="str">
        <f>IF('INTERACTION-PAGE'!T96="","",'INTERACTION-PAGE'!T96)</f>
        <v/>
      </c>
      <c r="U96" s="11" t="str">
        <f>IF('INTERACTION-PAGE'!U96="","",'INTERACTION-PAGE'!U96)</f>
        <v/>
      </c>
      <c r="V96" s="11" t="str">
        <f>IF('INTERACTION-PAGE'!V96="","",'INTERACTION-PAGE'!V96)</f>
        <v/>
      </c>
      <c r="W96" s="11" t="str">
        <f>IF('INTERACTION-PAGE'!W96="","",'INTERACTION-PAGE'!W96)</f>
        <v/>
      </c>
      <c r="X96" s="11" t="str">
        <f>IF('INTERACTION-PAGE'!X96="","",'INTERACTION-PAGE'!X96)</f>
        <v/>
      </c>
      <c r="Y96" s="27" t="str">
        <f t="shared" si="11"/>
        <v/>
      </c>
      <c r="Z96" s="27" t="str">
        <f t="shared" si="12"/>
        <v/>
      </c>
      <c r="AA96" s="27" t="str">
        <f t="shared" si="13"/>
        <v/>
      </c>
      <c r="AB96" s="27" t="str">
        <f t="shared" si="14"/>
        <v/>
      </c>
      <c r="AC96" s="27" t="str">
        <f t="shared" si="15"/>
        <v/>
      </c>
      <c r="AD96" s="27" t="str">
        <f t="shared" si="16"/>
        <v/>
      </c>
      <c r="AE96" s="28" t="str">
        <f t="shared" si="10"/>
        <v/>
      </c>
    </row>
    <row r="97" spans="1:31" ht="15" customHeight="1">
      <c r="A97" s="2">
        <v>87</v>
      </c>
      <c r="B97" s="11" t="str">
        <f>IF('INTERACTION-PAGE'!B97="","",'INTERACTION-PAGE'!B97)</f>
        <v/>
      </c>
      <c r="C97" s="11" t="str">
        <f>IF('INTERACTION-PAGE'!C97="","",'INTERACTION-PAGE'!C97)</f>
        <v/>
      </c>
      <c r="D97" s="11" t="str">
        <f>IF('INTERACTION-PAGE'!D97="","",'INTERACTION-PAGE'!D97)</f>
        <v/>
      </c>
      <c r="E97" s="11" t="str">
        <f>IF('INTERACTION-PAGE'!E97="","",'INTERACTION-PAGE'!E97)</f>
        <v/>
      </c>
      <c r="F97" s="11" t="str">
        <f>IF('INTERACTION-PAGE'!F97="","",'INTERACTION-PAGE'!F97)</f>
        <v/>
      </c>
      <c r="G97" s="11" t="str">
        <f>IF('INTERACTION-PAGE'!G97="","",'INTERACTION-PAGE'!G97)</f>
        <v/>
      </c>
      <c r="H97" s="11" t="str">
        <f>IF('INTERACTION-PAGE'!H97="","",'INTERACTION-PAGE'!H97)</f>
        <v/>
      </c>
      <c r="I97" s="11" t="str">
        <f>IF('INTERACTION-PAGE'!I97="","",'INTERACTION-PAGE'!I97)</f>
        <v/>
      </c>
      <c r="J97" s="11" t="str">
        <f>IF('INTERACTION-PAGE'!J97="","",'INTERACTION-PAGE'!J97)</f>
        <v/>
      </c>
      <c r="K97" s="11" t="str">
        <f>IF('INTERACTION-PAGE'!K97="","",'INTERACTION-PAGE'!K97)</f>
        <v/>
      </c>
      <c r="L97" s="11" t="str">
        <f>IF('INTERACTION-PAGE'!L97="","",'INTERACTION-PAGE'!L97)</f>
        <v/>
      </c>
      <c r="M97" s="11" t="str">
        <f>IF('INTERACTION-PAGE'!M97="","",'INTERACTION-PAGE'!M97)</f>
        <v/>
      </c>
      <c r="N97" s="11" t="str">
        <f>IF('INTERACTION-PAGE'!N97="","",'INTERACTION-PAGE'!N97)</f>
        <v/>
      </c>
      <c r="O97" s="11" t="str">
        <f>IF('INTERACTION-PAGE'!O97="","",'INTERACTION-PAGE'!O97)</f>
        <v/>
      </c>
      <c r="P97" s="11" t="str">
        <f>IF('INTERACTION-PAGE'!P97="","",'INTERACTION-PAGE'!P97)</f>
        <v/>
      </c>
      <c r="Q97" s="11" t="str">
        <f>IF('INTERACTION-PAGE'!Q97="","",'INTERACTION-PAGE'!Q97)</f>
        <v/>
      </c>
      <c r="R97" s="11" t="str">
        <f>IF('INTERACTION-PAGE'!R97="","",'INTERACTION-PAGE'!R97)</f>
        <v/>
      </c>
      <c r="S97" s="11" t="str">
        <f>IF('INTERACTION-PAGE'!S97="","",'INTERACTION-PAGE'!S97)</f>
        <v/>
      </c>
      <c r="T97" s="11" t="str">
        <f>IF('INTERACTION-PAGE'!T97="","",'INTERACTION-PAGE'!T97)</f>
        <v/>
      </c>
      <c r="U97" s="11" t="str">
        <f>IF('INTERACTION-PAGE'!U97="","",'INTERACTION-PAGE'!U97)</f>
        <v/>
      </c>
      <c r="V97" s="11" t="str">
        <f>IF('INTERACTION-PAGE'!V97="","",'INTERACTION-PAGE'!V97)</f>
        <v/>
      </c>
      <c r="W97" s="11" t="str">
        <f>IF('INTERACTION-PAGE'!W97="","",'INTERACTION-PAGE'!W97)</f>
        <v/>
      </c>
      <c r="X97" s="11" t="str">
        <f>IF('INTERACTION-PAGE'!X97="","",'INTERACTION-PAGE'!X97)</f>
        <v/>
      </c>
      <c r="Y97" s="27" t="str">
        <f t="shared" si="11"/>
        <v/>
      </c>
      <c r="Z97" s="27" t="str">
        <f t="shared" si="12"/>
        <v/>
      </c>
      <c r="AA97" s="27" t="str">
        <f t="shared" si="13"/>
        <v/>
      </c>
      <c r="AB97" s="27" t="str">
        <f t="shared" si="14"/>
        <v/>
      </c>
      <c r="AC97" s="27" t="str">
        <f t="shared" si="15"/>
        <v/>
      </c>
      <c r="AD97" s="27" t="str">
        <f t="shared" si="16"/>
        <v/>
      </c>
      <c r="AE97" s="28" t="str">
        <f t="shared" si="10"/>
        <v/>
      </c>
    </row>
    <row r="98" spans="1:31" ht="15" customHeight="1">
      <c r="A98" s="3">
        <v>88</v>
      </c>
      <c r="B98" s="11" t="str">
        <f>IF('INTERACTION-PAGE'!B98="","",'INTERACTION-PAGE'!B98)</f>
        <v/>
      </c>
      <c r="C98" s="11" t="str">
        <f>IF('INTERACTION-PAGE'!C98="","",'INTERACTION-PAGE'!C98)</f>
        <v/>
      </c>
      <c r="D98" s="11" t="str">
        <f>IF('INTERACTION-PAGE'!D98="","",'INTERACTION-PAGE'!D98)</f>
        <v/>
      </c>
      <c r="E98" s="11" t="str">
        <f>IF('INTERACTION-PAGE'!E98="","",'INTERACTION-PAGE'!E98)</f>
        <v/>
      </c>
      <c r="F98" s="11" t="str">
        <f>IF('INTERACTION-PAGE'!F98="","",'INTERACTION-PAGE'!F98)</f>
        <v/>
      </c>
      <c r="G98" s="11" t="str">
        <f>IF('INTERACTION-PAGE'!G98="","",'INTERACTION-PAGE'!G98)</f>
        <v/>
      </c>
      <c r="H98" s="11" t="str">
        <f>IF('INTERACTION-PAGE'!H98="","",'INTERACTION-PAGE'!H98)</f>
        <v/>
      </c>
      <c r="I98" s="11" t="str">
        <f>IF('INTERACTION-PAGE'!I98="","",'INTERACTION-PAGE'!I98)</f>
        <v/>
      </c>
      <c r="J98" s="11" t="str">
        <f>IF('INTERACTION-PAGE'!J98="","",'INTERACTION-PAGE'!J98)</f>
        <v/>
      </c>
      <c r="K98" s="11" t="str">
        <f>IF('INTERACTION-PAGE'!K98="","",'INTERACTION-PAGE'!K98)</f>
        <v/>
      </c>
      <c r="L98" s="11" t="str">
        <f>IF('INTERACTION-PAGE'!L98="","",'INTERACTION-PAGE'!L98)</f>
        <v/>
      </c>
      <c r="M98" s="11" t="str">
        <f>IF('INTERACTION-PAGE'!M98="","",'INTERACTION-PAGE'!M98)</f>
        <v/>
      </c>
      <c r="N98" s="11" t="str">
        <f>IF('INTERACTION-PAGE'!N98="","",'INTERACTION-PAGE'!N98)</f>
        <v/>
      </c>
      <c r="O98" s="11" t="str">
        <f>IF('INTERACTION-PAGE'!O98="","",'INTERACTION-PAGE'!O98)</f>
        <v/>
      </c>
      <c r="P98" s="11" t="str">
        <f>IF('INTERACTION-PAGE'!P98="","",'INTERACTION-PAGE'!P98)</f>
        <v/>
      </c>
      <c r="Q98" s="11" t="str">
        <f>IF('INTERACTION-PAGE'!Q98="","",'INTERACTION-PAGE'!Q98)</f>
        <v/>
      </c>
      <c r="R98" s="11" t="str">
        <f>IF('INTERACTION-PAGE'!R98="","",'INTERACTION-PAGE'!R98)</f>
        <v/>
      </c>
      <c r="S98" s="11" t="str">
        <f>IF('INTERACTION-PAGE'!S98="","",'INTERACTION-PAGE'!S98)</f>
        <v/>
      </c>
      <c r="T98" s="11" t="str">
        <f>IF('INTERACTION-PAGE'!T98="","",'INTERACTION-PAGE'!T98)</f>
        <v/>
      </c>
      <c r="U98" s="11" t="str">
        <f>IF('INTERACTION-PAGE'!U98="","",'INTERACTION-PAGE'!U98)</f>
        <v/>
      </c>
      <c r="V98" s="11" t="str">
        <f>IF('INTERACTION-PAGE'!V98="","",'INTERACTION-PAGE'!V98)</f>
        <v/>
      </c>
      <c r="W98" s="11" t="str">
        <f>IF('INTERACTION-PAGE'!W98="","",'INTERACTION-PAGE'!W98)</f>
        <v/>
      </c>
      <c r="X98" s="11" t="str">
        <f>IF('INTERACTION-PAGE'!X98="","",'INTERACTION-PAGE'!X98)</f>
        <v/>
      </c>
      <c r="Y98" s="27" t="str">
        <f t="shared" si="11"/>
        <v/>
      </c>
      <c r="Z98" s="27" t="str">
        <f t="shared" si="12"/>
        <v/>
      </c>
      <c r="AA98" s="27" t="str">
        <f t="shared" si="13"/>
        <v/>
      </c>
      <c r="AB98" s="27" t="str">
        <f t="shared" si="14"/>
        <v/>
      </c>
      <c r="AC98" s="27" t="str">
        <f t="shared" si="15"/>
        <v/>
      </c>
      <c r="AD98" s="27" t="str">
        <f t="shared" si="16"/>
        <v/>
      </c>
      <c r="AE98" s="28" t="str">
        <f t="shared" si="10"/>
        <v/>
      </c>
    </row>
    <row r="99" spans="1:31" ht="15" customHeight="1">
      <c r="A99" s="2">
        <v>89</v>
      </c>
      <c r="B99" s="11" t="str">
        <f>IF('INTERACTION-PAGE'!B99="","",'INTERACTION-PAGE'!B99)</f>
        <v/>
      </c>
      <c r="C99" s="11" t="str">
        <f>IF('INTERACTION-PAGE'!C99="","",'INTERACTION-PAGE'!C99)</f>
        <v/>
      </c>
      <c r="D99" s="11" t="str">
        <f>IF('INTERACTION-PAGE'!D99="","",'INTERACTION-PAGE'!D99)</f>
        <v/>
      </c>
      <c r="E99" s="11" t="str">
        <f>IF('INTERACTION-PAGE'!E99="","",'INTERACTION-PAGE'!E99)</f>
        <v/>
      </c>
      <c r="F99" s="11" t="str">
        <f>IF('INTERACTION-PAGE'!F99="","",'INTERACTION-PAGE'!F99)</f>
        <v/>
      </c>
      <c r="G99" s="11" t="str">
        <f>IF('INTERACTION-PAGE'!G99="","",'INTERACTION-PAGE'!G99)</f>
        <v/>
      </c>
      <c r="H99" s="11" t="str">
        <f>IF('INTERACTION-PAGE'!H99="","",'INTERACTION-PAGE'!H99)</f>
        <v/>
      </c>
      <c r="I99" s="11" t="str">
        <f>IF('INTERACTION-PAGE'!I99="","",'INTERACTION-PAGE'!I99)</f>
        <v/>
      </c>
      <c r="J99" s="11" t="str">
        <f>IF('INTERACTION-PAGE'!J99="","",'INTERACTION-PAGE'!J99)</f>
        <v/>
      </c>
      <c r="K99" s="11" t="str">
        <f>IF('INTERACTION-PAGE'!K99="","",'INTERACTION-PAGE'!K99)</f>
        <v/>
      </c>
      <c r="L99" s="11" t="str">
        <f>IF('INTERACTION-PAGE'!L99="","",'INTERACTION-PAGE'!L99)</f>
        <v/>
      </c>
      <c r="M99" s="11" t="str">
        <f>IF('INTERACTION-PAGE'!M99="","",'INTERACTION-PAGE'!M99)</f>
        <v/>
      </c>
      <c r="N99" s="11" t="str">
        <f>IF('INTERACTION-PAGE'!N99="","",'INTERACTION-PAGE'!N99)</f>
        <v/>
      </c>
      <c r="O99" s="11" t="str">
        <f>IF('INTERACTION-PAGE'!O99="","",'INTERACTION-PAGE'!O99)</f>
        <v/>
      </c>
      <c r="P99" s="11" t="str">
        <f>IF('INTERACTION-PAGE'!P99="","",'INTERACTION-PAGE'!P99)</f>
        <v/>
      </c>
      <c r="Q99" s="11" t="str">
        <f>IF('INTERACTION-PAGE'!Q99="","",'INTERACTION-PAGE'!Q99)</f>
        <v/>
      </c>
      <c r="R99" s="11" t="str">
        <f>IF('INTERACTION-PAGE'!R99="","",'INTERACTION-PAGE'!R99)</f>
        <v/>
      </c>
      <c r="S99" s="11" t="str">
        <f>IF('INTERACTION-PAGE'!S99="","",'INTERACTION-PAGE'!S99)</f>
        <v/>
      </c>
      <c r="T99" s="11" t="str">
        <f>IF('INTERACTION-PAGE'!T99="","",'INTERACTION-PAGE'!T99)</f>
        <v/>
      </c>
      <c r="U99" s="11" t="str">
        <f>IF('INTERACTION-PAGE'!U99="","",'INTERACTION-PAGE'!U99)</f>
        <v/>
      </c>
      <c r="V99" s="11" t="str">
        <f>IF('INTERACTION-PAGE'!V99="","",'INTERACTION-PAGE'!V99)</f>
        <v/>
      </c>
      <c r="W99" s="11" t="str">
        <f>IF('INTERACTION-PAGE'!W99="","",'INTERACTION-PAGE'!W99)</f>
        <v/>
      </c>
      <c r="X99" s="11" t="str">
        <f>IF('INTERACTION-PAGE'!X99="","",'INTERACTION-PAGE'!X99)</f>
        <v/>
      </c>
      <c r="Y99" s="27" t="str">
        <f t="shared" si="11"/>
        <v/>
      </c>
      <c r="Z99" s="27" t="str">
        <f t="shared" si="12"/>
        <v/>
      </c>
      <c r="AA99" s="27" t="str">
        <f t="shared" si="13"/>
        <v/>
      </c>
      <c r="AB99" s="27" t="str">
        <f t="shared" si="14"/>
        <v/>
      </c>
      <c r="AC99" s="27" t="str">
        <f t="shared" si="15"/>
        <v/>
      </c>
      <c r="AD99" s="27" t="str">
        <f t="shared" si="16"/>
        <v/>
      </c>
      <c r="AE99" s="28" t="str">
        <f t="shared" si="10"/>
        <v/>
      </c>
    </row>
    <row r="100" spans="1:31" ht="15" customHeight="1">
      <c r="A100" s="3">
        <v>90</v>
      </c>
      <c r="B100" s="11" t="str">
        <f>IF('INTERACTION-PAGE'!B100="","",'INTERACTION-PAGE'!B100)</f>
        <v/>
      </c>
      <c r="C100" s="11" t="str">
        <f>IF('INTERACTION-PAGE'!C100="","",'INTERACTION-PAGE'!C100)</f>
        <v/>
      </c>
      <c r="D100" s="11" t="str">
        <f>IF('INTERACTION-PAGE'!D100="","",'INTERACTION-PAGE'!D100)</f>
        <v/>
      </c>
      <c r="E100" s="11" t="str">
        <f>IF('INTERACTION-PAGE'!E100="","",'INTERACTION-PAGE'!E100)</f>
        <v/>
      </c>
      <c r="F100" s="11" t="str">
        <f>IF('INTERACTION-PAGE'!F100="","",'INTERACTION-PAGE'!F100)</f>
        <v/>
      </c>
      <c r="G100" s="11" t="str">
        <f>IF('INTERACTION-PAGE'!G100="","",'INTERACTION-PAGE'!G100)</f>
        <v/>
      </c>
      <c r="H100" s="11" t="str">
        <f>IF('INTERACTION-PAGE'!H100="","",'INTERACTION-PAGE'!H100)</f>
        <v/>
      </c>
      <c r="I100" s="11" t="str">
        <f>IF('INTERACTION-PAGE'!I100="","",'INTERACTION-PAGE'!I100)</f>
        <v/>
      </c>
      <c r="J100" s="11" t="str">
        <f>IF('INTERACTION-PAGE'!J100="","",'INTERACTION-PAGE'!J100)</f>
        <v/>
      </c>
      <c r="K100" s="11" t="str">
        <f>IF('INTERACTION-PAGE'!K100="","",'INTERACTION-PAGE'!K100)</f>
        <v/>
      </c>
      <c r="L100" s="11" t="str">
        <f>IF('INTERACTION-PAGE'!L100="","",'INTERACTION-PAGE'!L100)</f>
        <v/>
      </c>
      <c r="M100" s="11" t="str">
        <f>IF('INTERACTION-PAGE'!M100="","",'INTERACTION-PAGE'!M100)</f>
        <v/>
      </c>
      <c r="N100" s="11" t="str">
        <f>IF('INTERACTION-PAGE'!N100="","",'INTERACTION-PAGE'!N100)</f>
        <v/>
      </c>
      <c r="O100" s="11" t="str">
        <f>IF('INTERACTION-PAGE'!O100="","",'INTERACTION-PAGE'!O100)</f>
        <v/>
      </c>
      <c r="P100" s="11" t="str">
        <f>IF('INTERACTION-PAGE'!P100="","",'INTERACTION-PAGE'!P100)</f>
        <v/>
      </c>
      <c r="Q100" s="11" t="str">
        <f>IF('INTERACTION-PAGE'!Q100="","",'INTERACTION-PAGE'!Q100)</f>
        <v/>
      </c>
      <c r="R100" s="11" t="str">
        <f>IF('INTERACTION-PAGE'!R100="","",'INTERACTION-PAGE'!R100)</f>
        <v/>
      </c>
      <c r="S100" s="11" t="str">
        <f>IF('INTERACTION-PAGE'!S100="","",'INTERACTION-PAGE'!S100)</f>
        <v/>
      </c>
      <c r="T100" s="11" t="str">
        <f>IF('INTERACTION-PAGE'!T100="","",'INTERACTION-PAGE'!T100)</f>
        <v/>
      </c>
      <c r="U100" s="11" t="str">
        <f>IF('INTERACTION-PAGE'!U100="","",'INTERACTION-PAGE'!U100)</f>
        <v/>
      </c>
      <c r="V100" s="11" t="str">
        <f>IF('INTERACTION-PAGE'!V100="","",'INTERACTION-PAGE'!V100)</f>
        <v/>
      </c>
      <c r="W100" s="11" t="str">
        <f>IF('INTERACTION-PAGE'!W100="","",'INTERACTION-PAGE'!W100)</f>
        <v/>
      </c>
      <c r="X100" s="11" t="str">
        <f>IF('INTERACTION-PAGE'!X100="","",'INTERACTION-PAGE'!X100)</f>
        <v/>
      </c>
      <c r="Y100" s="27" t="str">
        <f t="shared" si="11"/>
        <v/>
      </c>
      <c r="Z100" s="27" t="str">
        <f t="shared" si="12"/>
        <v/>
      </c>
      <c r="AA100" s="27" t="str">
        <f t="shared" si="13"/>
        <v/>
      </c>
      <c r="AB100" s="27" t="str">
        <f t="shared" si="14"/>
        <v/>
      </c>
      <c r="AC100" s="27" t="str">
        <f t="shared" si="15"/>
        <v/>
      </c>
      <c r="AD100" s="27" t="str">
        <f t="shared" si="16"/>
        <v/>
      </c>
      <c r="AE100" s="28" t="str">
        <f t="shared" si="10"/>
        <v/>
      </c>
    </row>
    <row r="101" spans="1:31" ht="15" customHeight="1">
      <c r="A101" s="2">
        <v>91</v>
      </c>
      <c r="B101" s="11" t="str">
        <f>IF('INTERACTION-PAGE'!B101="","",'INTERACTION-PAGE'!B101)</f>
        <v/>
      </c>
      <c r="C101" s="11" t="str">
        <f>IF('INTERACTION-PAGE'!C101="","",'INTERACTION-PAGE'!C101)</f>
        <v/>
      </c>
      <c r="D101" s="11" t="str">
        <f>IF('INTERACTION-PAGE'!D101="","",'INTERACTION-PAGE'!D101)</f>
        <v/>
      </c>
      <c r="E101" s="11" t="str">
        <f>IF('INTERACTION-PAGE'!E101="","",'INTERACTION-PAGE'!E101)</f>
        <v/>
      </c>
      <c r="F101" s="11" t="str">
        <f>IF('INTERACTION-PAGE'!F101="","",'INTERACTION-PAGE'!F101)</f>
        <v/>
      </c>
      <c r="G101" s="11" t="str">
        <f>IF('INTERACTION-PAGE'!G101="","",'INTERACTION-PAGE'!G101)</f>
        <v/>
      </c>
      <c r="H101" s="11" t="str">
        <f>IF('INTERACTION-PAGE'!H101="","",'INTERACTION-PAGE'!H101)</f>
        <v/>
      </c>
      <c r="I101" s="11" t="str">
        <f>IF('INTERACTION-PAGE'!I101="","",'INTERACTION-PAGE'!I101)</f>
        <v/>
      </c>
      <c r="J101" s="11" t="str">
        <f>IF('INTERACTION-PAGE'!J101="","",'INTERACTION-PAGE'!J101)</f>
        <v/>
      </c>
      <c r="K101" s="11" t="str">
        <f>IF('INTERACTION-PAGE'!K101="","",'INTERACTION-PAGE'!K101)</f>
        <v/>
      </c>
      <c r="L101" s="11" t="str">
        <f>IF('INTERACTION-PAGE'!L101="","",'INTERACTION-PAGE'!L101)</f>
        <v/>
      </c>
      <c r="M101" s="11" t="str">
        <f>IF('INTERACTION-PAGE'!M101="","",'INTERACTION-PAGE'!M101)</f>
        <v/>
      </c>
      <c r="N101" s="11" t="str">
        <f>IF('INTERACTION-PAGE'!N101="","",'INTERACTION-PAGE'!N101)</f>
        <v/>
      </c>
      <c r="O101" s="11" t="str">
        <f>IF('INTERACTION-PAGE'!O101="","",'INTERACTION-PAGE'!O101)</f>
        <v/>
      </c>
      <c r="P101" s="11" t="str">
        <f>IF('INTERACTION-PAGE'!P101="","",'INTERACTION-PAGE'!P101)</f>
        <v/>
      </c>
      <c r="Q101" s="11" t="str">
        <f>IF('INTERACTION-PAGE'!Q101="","",'INTERACTION-PAGE'!Q101)</f>
        <v/>
      </c>
      <c r="R101" s="11" t="str">
        <f>IF('INTERACTION-PAGE'!R101="","",'INTERACTION-PAGE'!R101)</f>
        <v/>
      </c>
      <c r="S101" s="11" t="str">
        <f>IF('INTERACTION-PAGE'!S101="","",'INTERACTION-PAGE'!S101)</f>
        <v/>
      </c>
      <c r="T101" s="11" t="str">
        <f>IF('INTERACTION-PAGE'!T101="","",'INTERACTION-PAGE'!T101)</f>
        <v/>
      </c>
      <c r="U101" s="11" t="str">
        <f>IF('INTERACTION-PAGE'!U101="","",'INTERACTION-PAGE'!U101)</f>
        <v/>
      </c>
      <c r="V101" s="11" t="str">
        <f>IF('INTERACTION-PAGE'!V101="","",'INTERACTION-PAGE'!V101)</f>
        <v/>
      </c>
      <c r="W101" s="11" t="str">
        <f>IF('INTERACTION-PAGE'!W101="","",'INTERACTION-PAGE'!W101)</f>
        <v/>
      </c>
      <c r="X101" s="11" t="str">
        <f>IF('INTERACTION-PAGE'!X101="","",'INTERACTION-PAGE'!X101)</f>
        <v/>
      </c>
      <c r="Y101" s="27" t="str">
        <f t="shared" si="11"/>
        <v/>
      </c>
      <c r="Z101" s="27" t="str">
        <f t="shared" si="12"/>
        <v/>
      </c>
      <c r="AA101" s="27" t="str">
        <f t="shared" si="13"/>
        <v/>
      </c>
      <c r="AB101" s="27" t="str">
        <f t="shared" si="14"/>
        <v/>
      </c>
      <c r="AC101" s="27" t="str">
        <f t="shared" si="15"/>
        <v/>
      </c>
      <c r="AD101" s="27" t="str">
        <f t="shared" si="16"/>
        <v/>
      </c>
      <c r="AE101" s="28" t="str">
        <f t="shared" si="10"/>
        <v/>
      </c>
    </row>
    <row r="102" spans="1:31" ht="15" customHeight="1">
      <c r="A102" s="3">
        <v>92</v>
      </c>
      <c r="B102" s="11" t="str">
        <f>IF('INTERACTION-PAGE'!B102="","",'INTERACTION-PAGE'!B102)</f>
        <v/>
      </c>
      <c r="C102" s="11" t="str">
        <f>IF('INTERACTION-PAGE'!C102="","",'INTERACTION-PAGE'!C102)</f>
        <v/>
      </c>
      <c r="D102" s="11" t="str">
        <f>IF('INTERACTION-PAGE'!D102="","",'INTERACTION-PAGE'!D102)</f>
        <v/>
      </c>
      <c r="E102" s="11" t="str">
        <f>IF('INTERACTION-PAGE'!E102="","",'INTERACTION-PAGE'!E102)</f>
        <v/>
      </c>
      <c r="F102" s="11" t="str">
        <f>IF('INTERACTION-PAGE'!F102="","",'INTERACTION-PAGE'!F102)</f>
        <v/>
      </c>
      <c r="G102" s="11" t="str">
        <f>IF('INTERACTION-PAGE'!G102="","",'INTERACTION-PAGE'!G102)</f>
        <v/>
      </c>
      <c r="H102" s="11" t="str">
        <f>IF('INTERACTION-PAGE'!H102="","",'INTERACTION-PAGE'!H102)</f>
        <v/>
      </c>
      <c r="I102" s="11" t="str">
        <f>IF('INTERACTION-PAGE'!I102="","",'INTERACTION-PAGE'!I102)</f>
        <v/>
      </c>
      <c r="J102" s="11" t="str">
        <f>IF('INTERACTION-PAGE'!J102="","",'INTERACTION-PAGE'!J102)</f>
        <v/>
      </c>
      <c r="K102" s="11" t="str">
        <f>IF('INTERACTION-PAGE'!K102="","",'INTERACTION-PAGE'!K102)</f>
        <v/>
      </c>
      <c r="L102" s="11" t="str">
        <f>IF('INTERACTION-PAGE'!L102="","",'INTERACTION-PAGE'!L102)</f>
        <v/>
      </c>
      <c r="M102" s="11" t="str">
        <f>IF('INTERACTION-PAGE'!M102="","",'INTERACTION-PAGE'!M102)</f>
        <v/>
      </c>
      <c r="N102" s="11" t="str">
        <f>IF('INTERACTION-PAGE'!N102="","",'INTERACTION-PAGE'!N102)</f>
        <v/>
      </c>
      <c r="O102" s="11" t="str">
        <f>IF('INTERACTION-PAGE'!O102="","",'INTERACTION-PAGE'!O102)</f>
        <v/>
      </c>
      <c r="P102" s="11" t="str">
        <f>IF('INTERACTION-PAGE'!P102="","",'INTERACTION-PAGE'!P102)</f>
        <v/>
      </c>
      <c r="Q102" s="11" t="str">
        <f>IF('INTERACTION-PAGE'!Q102="","",'INTERACTION-PAGE'!Q102)</f>
        <v/>
      </c>
      <c r="R102" s="11" t="str">
        <f>IF('INTERACTION-PAGE'!R102="","",'INTERACTION-PAGE'!R102)</f>
        <v/>
      </c>
      <c r="S102" s="11" t="str">
        <f>IF('INTERACTION-PAGE'!S102="","",'INTERACTION-PAGE'!S102)</f>
        <v/>
      </c>
      <c r="T102" s="11" t="str">
        <f>IF('INTERACTION-PAGE'!T102="","",'INTERACTION-PAGE'!T102)</f>
        <v/>
      </c>
      <c r="U102" s="11" t="str">
        <f>IF('INTERACTION-PAGE'!U102="","",'INTERACTION-PAGE'!U102)</f>
        <v/>
      </c>
      <c r="V102" s="11" t="str">
        <f>IF('INTERACTION-PAGE'!V102="","",'INTERACTION-PAGE'!V102)</f>
        <v/>
      </c>
      <c r="W102" s="11" t="str">
        <f>IF('INTERACTION-PAGE'!W102="","",'INTERACTION-PAGE'!W102)</f>
        <v/>
      </c>
      <c r="X102" s="11" t="str">
        <f>IF('INTERACTION-PAGE'!X102="","",'INTERACTION-PAGE'!X102)</f>
        <v/>
      </c>
      <c r="Y102" s="27" t="str">
        <f t="shared" si="11"/>
        <v/>
      </c>
      <c r="Z102" s="27" t="str">
        <f t="shared" si="12"/>
        <v/>
      </c>
      <c r="AA102" s="27" t="str">
        <f t="shared" si="13"/>
        <v/>
      </c>
      <c r="AB102" s="27" t="str">
        <f t="shared" si="14"/>
        <v/>
      </c>
      <c r="AC102" s="27" t="str">
        <f t="shared" si="15"/>
        <v/>
      </c>
      <c r="AD102" s="27" t="str">
        <f t="shared" si="16"/>
        <v/>
      </c>
      <c r="AE102" s="28" t="str">
        <f t="shared" si="10"/>
        <v/>
      </c>
    </row>
    <row r="103" spans="1:31" ht="15" customHeight="1">
      <c r="A103" s="2">
        <v>93</v>
      </c>
      <c r="B103" s="11" t="str">
        <f>IF('INTERACTION-PAGE'!B103="","",'INTERACTION-PAGE'!B103)</f>
        <v/>
      </c>
      <c r="C103" s="11" t="str">
        <f>IF('INTERACTION-PAGE'!C103="","",'INTERACTION-PAGE'!C103)</f>
        <v/>
      </c>
      <c r="D103" s="11" t="str">
        <f>IF('INTERACTION-PAGE'!D103="","",'INTERACTION-PAGE'!D103)</f>
        <v/>
      </c>
      <c r="E103" s="11" t="str">
        <f>IF('INTERACTION-PAGE'!E103="","",'INTERACTION-PAGE'!E103)</f>
        <v/>
      </c>
      <c r="F103" s="11" t="str">
        <f>IF('INTERACTION-PAGE'!F103="","",'INTERACTION-PAGE'!F103)</f>
        <v/>
      </c>
      <c r="G103" s="11" t="str">
        <f>IF('INTERACTION-PAGE'!G103="","",'INTERACTION-PAGE'!G103)</f>
        <v/>
      </c>
      <c r="H103" s="11" t="str">
        <f>IF('INTERACTION-PAGE'!H103="","",'INTERACTION-PAGE'!H103)</f>
        <v/>
      </c>
      <c r="I103" s="11" t="str">
        <f>IF('INTERACTION-PAGE'!I103="","",'INTERACTION-PAGE'!I103)</f>
        <v/>
      </c>
      <c r="J103" s="11" t="str">
        <f>IF('INTERACTION-PAGE'!J103="","",'INTERACTION-PAGE'!J103)</f>
        <v/>
      </c>
      <c r="K103" s="11" t="str">
        <f>IF('INTERACTION-PAGE'!K103="","",'INTERACTION-PAGE'!K103)</f>
        <v/>
      </c>
      <c r="L103" s="11" t="str">
        <f>IF('INTERACTION-PAGE'!L103="","",'INTERACTION-PAGE'!L103)</f>
        <v/>
      </c>
      <c r="M103" s="11" t="str">
        <f>IF('INTERACTION-PAGE'!M103="","",'INTERACTION-PAGE'!M103)</f>
        <v/>
      </c>
      <c r="N103" s="11" t="str">
        <f>IF('INTERACTION-PAGE'!N103="","",'INTERACTION-PAGE'!N103)</f>
        <v/>
      </c>
      <c r="O103" s="11" t="str">
        <f>IF('INTERACTION-PAGE'!O103="","",'INTERACTION-PAGE'!O103)</f>
        <v/>
      </c>
      <c r="P103" s="11" t="str">
        <f>IF('INTERACTION-PAGE'!P103="","",'INTERACTION-PAGE'!P103)</f>
        <v/>
      </c>
      <c r="Q103" s="11" t="str">
        <f>IF('INTERACTION-PAGE'!Q103="","",'INTERACTION-PAGE'!Q103)</f>
        <v/>
      </c>
      <c r="R103" s="11" t="str">
        <f>IF('INTERACTION-PAGE'!R103="","",'INTERACTION-PAGE'!R103)</f>
        <v/>
      </c>
      <c r="S103" s="11" t="str">
        <f>IF('INTERACTION-PAGE'!S103="","",'INTERACTION-PAGE'!S103)</f>
        <v/>
      </c>
      <c r="T103" s="11" t="str">
        <f>IF('INTERACTION-PAGE'!T103="","",'INTERACTION-PAGE'!T103)</f>
        <v/>
      </c>
      <c r="U103" s="11" t="str">
        <f>IF('INTERACTION-PAGE'!U103="","",'INTERACTION-PAGE'!U103)</f>
        <v/>
      </c>
      <c r="V103" s="11" t="str">
        <f>IF('INTERACTION-PAGE'!V103="","",'INTERACTION-PAGE'!V103)</f>
        <v/>
      </c>
      <c r="W103" s="11" t="str">
        <f>IF('INTERACTION-PAGE'!W103="","",'INTERACTION-PAGE'!W103)</f>
        <v/>
      </c>
      <c r="X103" s="11" t="str">
        <f>IF('INTERACTION-PAGE'!X103="","",'INTERACTION-PAGE'!X103)</f>
        <v/>
      </c>
      <c r="Y103" s="27" t="str">
        <f t="shared" si="11"/>
        <v/>
      </c>
      <c r="Z103" s="27" t="str">
        <f t="shared" si="12"/>
        <v/>
      </c>
      <c r="AA103" s="27" t="str">
        <f t="shared" si="13"/>
        <v/>
      </c>
      <c r="AB103" s="27" t="str">
        <f t="shared" si="14"/>
        <v/>
      </c>
      <c r="AC103" s="27" t="str">
        <f t="shared" si="15"/>
        <v/>
      </c>
      <c r="AD103" s="27" t="str">
        <f t="shared" si="16"/>
        <v/>
      </c>
      <c r="AE103" s="28" t="str">
        <f t="shared" si="10"/>
        <v/>
      </c>
    </row>
    <row r="104" spans="1:31" ht="15" customHeight="1">
      <c r="A104" s="3">
        <v>94</v>
      </c>
      <c r="B104" s="11" t="str">
        <f>IF('INTERACTION-PAGE'!B104="","",'INTERACTION-PAGE'!B104)</f>
        <v/>
      </c>
      <c r="C104" s="11" t="str">
        <f>IF('INTERACTION-PAGE'!C104="","",'INTERACTION-PAGE'!C104)</f>
        <v/>
      </c>
      <c r="D104" s="11" t="str">
        <f>IF('INTERACTION-PAGE'!D104="","",'INTERACTION-PAGE'!D104)</f>
        <v/>
      </c>
      <c r="E104" s="11" t="str">
        <f>IF('INTERACTION-PAGE'!E104="","",'INTERACTION-PAGE'!E104)</f>
        <v/>
      </c>
      <c r="F104" s="11" t="str">
        <f>IF('INTERACTION-PAGE'!F104="","",'INTERACTION-PAGE'!F104)</f>
        <v/>
      </c>
      <c r="G104" s="11" t="str">
        <f>IF('INTERACTION-PAGE'!G104="","",'INTERACTION-PAGE'!G104)</f>
        <v/>
      </c>
      <c r="H104" s="11" t="str">
        <f>IF('INTERACTION-PAGE'!H104="","",'INTERACTION-PAGE'!H104)</f>
        <v/>
      </c>
      <c r="I104" s="11" t="str">
        <f>IF('INTERACTION-PAGE'!I104="","",'INTERACTION-PAGE'!I104)</f>
        <v/>
      </c>
      <c r="J104" s="11" t="str">
        <f>IF('INTERACTION-PAGE'!J104="","",'INTERACTION-PAGE'!J104)</f>
        <v/>
      </c>
      <c r="K104" s="11" t="str">
        <f>IF('INTERACTION-PAGE'!K104="","",'INTERACTION-PAGE'!K104)</f>
        <v/>
      </c>
      <c r="L104" s="11" t="str">
        <f>IF('INTERACTION-PAGE'!L104="","",'INTERACTION-PAGE'!L104)</f>
        <v/>
      </c>
      <c r="M104" s="11" t="str">
        <f>IF('INTERACTION-PAGE'!M104="","",'INTERACTION-PAGE'!M104)</f>
        <v/>
      </c>
      <c r="N104" s="11" t="str">
        <f>IF('INTERACTION-PAGE'!N104="","",'INTERACTION-PAGE'!N104)</f>
        <v/>
      </c>
      <c r="O104" s="11" t="str">
        <f>IF('INTERACTION-PAGE'!O104="","",'INTERACTION-PAGE'!O104)</f>
        <v/>
      </c>
      <c r="P104" s="11" t="str">
        <f>IF('INTERACTION-PAGE'!P104="","",'INTERACTION-PAGE'!P104)</f>
        <v/>
      </c>
      <c r="Q104" s="11" t="str">
        <f>IF('INTERACTION-PAGE'!Q104="","",'INTERACTION-PAGE'!Q104)</f>
        <v/>
      </c>
      <c r="R104" s="11" t="str">
        <f>IF('INTERACTION-PAGE'!R104="","",'INTERACTION-PAGE'!R104)</f>
        <v/>
      </c>
      <c r="S104" s="11" t="str">
        <f>IF('INTERACTION-PAGE'!S104="","",'INTERACTION-PAGE'!S104)</f>
        <v/>
      </c>
      <c r="T104" s="11" t="str">
        <f>IF('INTERACTION-PAGE'!T104="","",'INTERACTION-PAGE'!T104)</f>
        <v/>
      </c>
      <c r="U104" s="11" t="str">
        <f>IF('INTERACTION-PAGE'!U104="","",'INTERACTION-PAGE'!U104)</f>
        <v/>
      </c>
      <c r="V104" s="11" t="str">
        <f>IF('INTERACTION-PAGE'!V104="","",'INTERACTION-PAGE'!V104)</f>
        <v/>
      </c>
      <c r="W104" s="11" t="str">
        <f>IF('INTERACTION-PAGE'!W104="","",'INTERACTION-PAGE'!W104)</f>
        <v/>
      </c>
      <c r="X104" s="11" t="str">
        <f>IF('INTERACTION-PAGE'!X104="","",'INTERACTION-PAGE'!X104)</f>
        <v/>
      </c>
      <c r="Y104" s="27" t="str">
        <f t="shared" si="11"/>
        <v/>
      </c>
      <c r="Z104" s="27" t="str">
        <f t="shared" si="12"/>
        <v/>
      </c>
      <c r="AA104" s="27" t="str">
        <f t="shared" si="13"/>
        <v/>
      </c>
      <c r="AB104" s="27" t="str">
        <f t="shared" si="14"/>
        <v/>
      </c>
      <c r="AC104" s="27" t="str">
        <f t="shared" si="15"/>
        <v/>
      </c>
      <c r="AD104" s="27" t="str">
        <f t="shared" si="16"/>
        <v/>
      </c>
      <c r="AE104" s="28" t="str">
        <f t="shared" si="10"/>
        <v/>
      </c>
    </row>
    <row r="105" spans="1:31" ht="15" customHeight="1">
      <c r="A105" s="2">
        <v>95</v>
      </c>
      <c r="B105" s="11" t="str">
        <f>IF('INTERACTION-PAGE'!B105="","",'INTERACTION-PAGE'!B105)</f>
        <v/>
      </c>
      <c r="C105" s="11" t="str">
        <f>IF('INTERACTION-PAGE'!C105="","",'INTERACTION-PAGE'!C105)</f>
        <v/>
      </c>
      <c r="D105" s="11" t="str">
        <f>IF('INTERACTION-PAGE'!D105="","",'INTERACTION-PAGE'!D105)</f>
        <v/>
      </c>
      <c r="E105" s="11" t="str">
        <f>IF('INTERACTION-PAGE'!E105="","",'INTERACTION-PAGE'!E105)</f>
        <v/>
      </c>
      <c r="F105" s="11" t="str">
        <f>IF('INTERACTION-PAGE'!F105="","",'INTERACTION-PAGE'!F105)</f>
        <v/>
      </c>
      <c r="G105" s="11" t="str">
        <f>IF('INTERACTION-PAGE'!G105="","",'INTERACTION-PAGE'!G105)</f>
        <v/>
      </c>
      <c r="H105" s="11" t="str">
        <f>IF('INTERACTION-PAGE'!H105="","",'INTERACTION-PAGE'!H105)</f>
        <v/>
      </c>
      <c r="I105" s="11" t="str">
        <f>IF('INTERACTION-PAGE'!I105="","",'INTERACTION-PAGE'!I105)</f>
        <v/>
      </c>
      <c r="J105" s="11" t="str">
        <f>IF('INTERACTION-PAGE'!J105="","",'INTERACTION-PAGE'!J105)</f>
        <v/>
      </c>
      <c r="K105" s="11" t="str">
        <f>IF('INTERACTION-PAGE'!K105="","",'INTERACTION-PAGE'!K105)</f>
        <v/>
      </c>
      <c r="L105" s="11" t="str">
        <f>IF('INTERACTION-PAGE'!L105="","",'INTERACTION-PAGE'!L105)</f>
        <v/>
      </c>
      <c r="M105" s="11" t="str">
        <f>IF('INTERACTION-PAGE'!M105="","",'INTERACTION-PAGE'!M105)</f>
        <v/>
      </c>
      <c r="N105" s="11" t="str">
        <f>IF('INTERACTION-PAGE'!N105="","",'INTERACTION-PAGE'!N105)</f>
        <v/>
      </c>
      <c r="O105" s="11" t="str">
        <f>IF('INTERACTION-PAGE'!O105="","",'INTERACTION-PAGE'!O105)</f>
        <v/>
      </c>
      <c r="P105" s="11" t="str">
        <f>IF('INTERACTION-PAGE'!P105="","",'INTERACTION-PAGE'!P105)</f>
        <v/>
      </c>
      <c r="Q105" s="11" t="str">
        <f>IF('INTERACTION-PAGE'!Q105="","",'INTERACTION-PAGE'!Q105)</f>
        <v/>
      </c>
      <c r="R105" s="11" t="str">
        <f>IF('INTERACTION-PAGE'!R105="","",'INTERACTION-PAGE'!R105)</f>
        <v/>
      </c>
      <c r="S105" s="11" t="str">
        <f>IF('INTERACTION-PAGE'!S105="","",'INTERACTION-PAGE'!S105)</f>
        <v/>
      </c>
      <c r="T105" s="11" t="str">
        <f>IF('INTERACTION-PAGE'!T105="","",'INTERACTION-PAGE'!T105)</f>
        <v/>
      </c>
      <c r="U105" s="11" t="str">
        <f>IF('INTERACTION-PAGE'!U105="","",'INTERACTION-PAGE'!U105)</f>
        <v/>
      </c>
      <c r="V105" s="11" t="str">
        <f>IF('INTERACTION-PAGE'!V105="","",'INTERACTION-PAGE'!V105)</f>
        <v/>
      </c>
      <c r="W105" s="11" t="str">
        <f>IF('INTERACTION-PAGE'!W105="","",'INTERACTION-PAGE'!W105)</f>
        <v/>
      </c>
      <c r="X105" s="11" t="str">
        <f>IF('INTERACTION-PAGE'!X105="","",'INTERACTION-PAGE'!X105)</f>
        <v/>
      </c>
      <c r="Y105" s="27" t="str">
        <f t="shared" si="11"/>
        <v/>
      </c>
      <c r="Z105" s="27" t="str">
        <f t="shared" si="12"/>
        <v/>
      </c>
      <c r="AA105" s="27" t="str">
        <f t="shared" si="13"/>
        <v/>
      </c>
      <c r="AB105" s="27" t="str">
        <f t="shared" si="14"/>
        <v/>
      </c>
      <c r="AC105" s="27" t="str">
        <f t="shared" si="15"/>
        <v/>
      </c>
      <c r="AD105" s="27" t="str">
        <f t="shared" si="16"/>
        <v/>
      </c>
      <c r="AE105" s="28" t="str">
        <f t="shared" si="10"/>
        <v/>
      </c>
    </row>
    <row r="106" spans="1:31" ht="15" customHeight="1">
      <c r="A106" s="3">
        <v>96</v>
      </c>
      <c r="B106" s="11" t="str">
        <f>IF('INTERACTION-PAGE'!B106="","",'INTERACTION-PAGE'!B106)</f>
        <v/>
      </c>
      <c r="C106" s="11" t="str">
        <f>IF('INTERACTION-PAGE'!C106="","",'INTERACTION-PAGE'!C106)</f>
        <v/>
      </c>
      <c r="D106" s="11" t="str">
        <f>IF('INTERACTION-PAGE'!D106="","",'INTERACTION-PAGE'!D106)</f>
        <v/>
      </c>
      <c r="E106" s="11" t="str">
        <f>IF('INTERACTION-PAGE'!E106="","",'INTERACTION-PAGE'!E106)</f>
        <v/>
      </c>
      <c r="F106" s="11" t="str">
        <f>IF('INTERACTION-PAGE'!F106="","",'INTERACTION-PAGE'!F106)</f>
        <v/>
      </c>
      <c r="G106" s="11" t="str">
        <f>IF('INTERACTION-PAGE'!G106="","",'INTERACTION-PAGE'!G106)</f>
        <v/>
      </c>
      <c r="H106" s="11" t="str">
        <f>IF('INTERACTION-PAGE'!H106="","",'INTERACTION-PAGE'!H106)</f>
        <v/>
      </c>
      <c r="I106" s="11" t="str">
        <f>IF('INTERACTION-PAGE'!I106="","",'INTERACTION-PAGE'!I106)</f>
        <v/>
      </c>
      <c r="J106" s="11" t="str">
        <f>IF('INTERACTION-PAGE'!J106="","",'INTERACTION-PAGE'!J106)</f>
        <v/>
      </c>
      <c r="K106" s="11" t="str">
        <f>IF('INTERACTION-PAGE'!K106="","",'INTERACTION-PAGE'!K106)</f>
        <v/>
      </c>
      <c r="L106" s="11" t="str">
        <f>IF('INTERACTION-PAGE'!L106="","",'INTERACTION-PAGE'!L106)</f>
        <v/>
      </c>
      <c r="M106" s="11" t="str">
        <f>IF('INTERACTION-PAGE'!M106="","",'INTERACTION-PAGE'!M106)</f>
        <v/>
      </c>
      <c r="N106" s="11" t="str">
        <f>IF('INTERACTION-PAGE'!N106="","",'INTERACTION-PAGE'!N106)</f>
        <v/>
      </c>
      <c r="O106" s="11" t="str">
        <f>IF('INTERACTION-PAGE'!O106="","",'INTERACTION-PAGE'!O106)</f>
        <v/>
      </c>
      <c r="P106" s="11" t="str">
        <f>IF('INTERACTION-PAGE'!P106="","",'INTERACTION-PAGE'!P106)</f>
        <v/>
      </c>
      <c r="Q106" s="11" t="str">
        <f>IF('INTERACTION-PAGE'!Q106="","",'INTERACTION-PAGE'!Q106)</f>
        <v/>
      </c>
      <c r="R106" s="11" t="str">
        <f>IF('INTERACTION-PAGE'!R106="","",'INTERACTION-PAGE'!R106)</f>
        <v/>
      </c>
      <c r="S106" s="11" t="str">
        <f>IF('INTERACTION-PAGE'!S106="","",'INTERACTION-PAGE'!S106)</f>
        <v/>
      </c>
      <c r="T106" s="11" t="str">
        <f>IF('INTERACTION-PAGE'!T106="","",'INTERACTION-PAGE'!T106)</f>
        <v/>
      </c>
      <c r="U106" s="11" t="str">
        <f>IF('INTERACTION-PAGE'!U106="","",'INTERACTION-PAGE'!U106)</f>
        <v/>
      </c>
      <c r="V106" s="11" t="str">
        <f>IF('INTERACTION-PAGE'!V106="","",'INTERACTION-PAGE'!V106)</f>
        <v/>
      </c>
      <c r="W106" s="11" t="str">
        <f>IF('INTERACTION-PAGE'!W106="","",'INTERACTION-PAGE'!W106)</f>
        <v/>
      </c>
      <c r="X106" s="11" t="str">
        <f>IF('INTERACTION-PAGE'!X106="","",'INTERACTION-PAGE'!X106)</f>
        <v/>
      </c>
      <c r="Y106" s="27" t="str">
        <f t="shared" si="11"/>
        <v/>
      </c>
      <c r="Z106" s="27" t="str">
        <f t="shared" si="12"/>
        <v/>
      </c>
      <c r="AA106" s="27" t="str">
        <f t="shared" si="13"/>
        <v/>
      </c>
      <c r="AB106" s="27" t="str">
        <f t="shared" si="14"/>
        <v/>
      </c>
      <c r="AC106" s="27" t="str">
        <f t="shared" si="15"/>
        <v/>
      </c>
      <c r="AD106" s="27" t="str">
        <f t="shared" si="16"/>
        <v/>
      </c>
      <c r="AE106" s="28" t="str">
        <f t="shared" si="10"/>
        <v/>
      </c>
    </row>
    <row r="107" spans="1:31" ht="15" customHeight="1">
      <c r="A107" s="2">
        <v>97</v>
      </c>
      <c r="B107" s="11" t="str">
        <f>IF('INTERACTION-PAGE'!B107="","",'INTERACTION-PAGE'!B107)</f>
        <v/>
      </c>
      <c r="C107" s="11" t="str">
        <f>IF('INTERACTION-PAGE'!C107="","",'INTERACTION-PAGE'!C107)</f>
        <v/>
      </c>
      <c r="D107" s="11" t="str">
        <f>IF('INTERACTION-PAGE'!D107="","",'INTERACTION-PAGE'!D107)</f>
        <v/>
      </c>
      <c r="E107" s="11" t="str">
        <f>IF('INTERACTION-PAGE'!E107="","",'INTERACTION-PAGE'!E107)</f>
        <v/>
      </c>
      <c r="F107" s="11" t="str">
        <f>IF('INTERACTION-PAGE'!F107="","",'INTERACTION-PAGE'!F107)</f>
        <v/>
      </c>
      <c r="G107" s="11" t="str">
        <f>IF('INTERACTION-PAGE'!G107="","",'INTERACTION-PAGE'!G107)</f>
        <v/>
      </c>
      <c r="H107" s="11" t="str">
        <f>IF('INTERACTION-PAGE'!H107="","",'INTERACTION-PAGE'!H107)</f>
        <v/>
      </c>
      <c r="I107" s="11" t="str">
        <f>IF('INTERACTION-PAGE'!I107="","",'INTERACTION-PAGE'!I107)</f>
        <v/>
      </c>
      <c r="J107" s="11" t="str">
        <f>IF('INTERACTION-PAGE'!J107="","",'INTERACTION-PAGE'!J107)</f>
        <v/>
      </c>
      <c r="K107" s="11" t="str">
        <f>IF('INTERACTION-PAGE'!K107="","",'INTERACTION-PAGE'!K107)</f>
        <v/>
      </c>
      <c r="L107" s="11" t="str">
        <f>IF('INTERACTION-PAGE'!L107="","",'INTERACTION-PAGE'!L107)</f>
        <v/>
      </c>
      <c r="M107" s="11" t="str">
        <f>IF('INTERACTION-PAGE'!M107="","",'INTERACTION-PAGE'!M107)</f>
        <v/>
      </c>
      <c r="N107" s="11" t="str">
        <f>IF('INTERACTION-PAGE'!N107="","",'INTERACTION-PAGE'!N107)</f>
        <v/>
      </c>
      <c r="O107" s="11" t="str">
        <f>IF('INTERACTION-PAGE'!O107="","",'INTERACTION-PAGE'!O107)</f>
        <v/>
      </c>
      <c r="P107" s="11" t="str">
        <f>IF('INTERACTION-PAGE'!P107="","",'INTERACTION-PAGE'!P107)</f>
        <v/>
      </c>
      <c r="Q107" s="11" t="str">
        <f>IF('INTERACTION-PAGE'!Q107="","",'INTERACTION-PAGE'!Q107)</f>
        <v/>
      </c>
      <c r="R107" s="11" t="str">
        <f>IF('INTERACTION-PAGE'!R107="","",'INTERACTION-PAGE'!R107)</f>
        <v/>
      </c>
      <c r="S107" s="11" t="str">
        <f>IF('INTERACTION-PAGE'!S107="","",'INTERACTION-PAGE'!S107)</f>
        <v/>
      </c>
      <c r="T107" s="11" t="str">
        <f>IF('INTERACTION-PAGE'!T107="","",'INTERACTION-PAGE'!T107)</f>
        <v/>
      </c>
      <c r="U107" s="11" t="str">
        <f>IF('INTERACTION-PAGE'!U107="","",'INTERACTION-PAGE'!U107)</f>
        <v/>
      </c>
      <c r="V107" s="11" t="str">
        <f>IF('INTERACTION-PAGE'!V107="","",'INTERACTION-PAGE'!V107)</f>
        <v/>
      </c>
      <c r="W107" s="11" t="str">
        <f>IF('INTERACTION-PAGE'!W107="","",'INTERACTION-PAGE'!W107)</f>
        <v/>
      </c>
      <c r="X107" s="11" t="str">
        <f>IF('INTERACTION-PAGE'!X107="","",'INTERACTION-PAGE'!X107)</f>
        <v/>
      </c>
      <c r="Y107" s="27" t="str">
        <f t="shared" si="11"/>
        <v/>
      </c>
      <c r="Z107" s="27" t="str">
        <f t="shared" si="12"/>
        <v/>
      </c>
      <c r="AA107" s="27" t="str">
        <f t="shared" si="13"/>
        <v/>
      </c>
      <c r="AB107" s="27" t="str">
        <f t="shared" si="14"/>
        <v/>
      </c>
      <c r="AC107" s="27" t="str">
        <f t="shared" si="15"/>
        <v/>
      </c>
      <c r="AD107" s="27" t="str">
        <f t="shared" si="16"/>
        <v/>
      </c>
      <c r="AE107" s="28" t="str">
        <f t="shared" ref="AE107:AE125" si="17">IF(C107="","",IFERROR(AVERAGE(Z107:AD107),""))</f>
        <v/>
      </c>
    </row>
    <row r="108" spans="1:31" ht="15" customHeight="1">
      <c r="A108" s="3">
        <v>98</v>
      </c>
      <c r="B108" s="11" t="str">
        <f>IF('INTERACTION-PAGE'!B108="","",'INTERACTION-PAGE'!B108)</f>
        <v/>
      </c>
      <c r="C108" s="11" t="str">
        <f>IF('INTERACTION-PAGE'!C108="","",'INTERACTION-PAGE'!C108)</f>
        <v/>
      </c>
      <c r="D108" s="11" t="str">
        <f>IF('INTERACTION-PAGE'!D108="","",'INTERACTION-PAGE'!D108)</f>
        <v/>
      </c>
      <c r="E108" s="11" t="str">
        <f>IF('INTERACTION-PAGE'!E108="","",'INTERACTION-PAGE'!E108)</f>
        <v/>
      </c>
      <c r="F108" s="11" t="str">
        <f>IF('INTERACTION-PAGE'!F108="","",'INTERACTION-PAGE'!F108)</f>
        <v/>
      </c>
      <c r="G108" s="11" t="str">
        <f>IF('INTERACTION-PAGE'!G108="","",'INTERACTION-PAGE'!G108)</f>
        <v/>
      </c>
      <c r="H108" s="11" t="str">
        <f>IF('INTERACTION-PAGE'!H108="","",'INTERACTION-PAGE'!H108)</f>
        <v/>
      </c>
      <c r="I108" s="11" t="str">
        <f>IF('INTERACTION-PAGE'!I108="","",'INTERACTION-PAGE'!I108)</f>
        <v/>
      </c>
      <c r="J108" s="11" t="str">
        <f>IF('INTERACTION-PAGE'!J108="","",'INTERACTION-PAGE'!J108)</f>
        <v/>
      </c>
      <c r="K108" s="11" t="str">
        <f>IF('INTERACTION-PAGE'!K108="","",'INTERACTION-PAGE'!K108)</f>
        <v/>
      </c>
      <c r="L108" s="11" t="str">
        <f>IF('INTERACTION-PAGE'!L108="","",'INTERACTION-PAGE'!L108)</f>
        <v/>
      </c>
      <c r="M108" s="11" t="str">
        <f>IF('INTERACTION-PAGE'!M108="","",'INTERACTION-PAGE'!M108)</f>
        <v/>
      </c>
      <c r="N108" s="11" t="str">
        <f>IF('INTERACTION-PAGE'!N108="","",'INTERACTION-PAGE'!N108)</f>
        <v/>
      </c>
      <c r="O108" s="11" t="str">
        <f>IF('INTERACTION-PAGE'!O108="","",'INTERACTION-PAGE'!O108)</f>
        <v/>
      </c>
      <c r="P108" s="11" t="str">
        <f>IF('INTERACTION-PAGE'!P108="","",'INTERACTION-PAGE'!P108)</f>
        <v/>
      </c>
      <c r="Q108" s="11" t="str">
        <f>IF('INTERACTION-PAGE'!Q108="","",'INTERACTION-PAGE'!Q108)</f>
        <v/>
      </c>
      <c r="R108" s="11" t="str">
        <f>IF('INTERACTION-PAGE'!R108="","",'INTERACTION-PAGE'!R108)</f>
        <v/>
      </c>
      <c r="S108" s="11" t="str">
        <f>IF('INTERACTION-PAGE'!S108="","",'INTERACTION-PAGE'!S108)</f>
        <v/>
      </c>
      <c r="T108" s="11" t="str">
        <f>IF('INTERACTION-PAGE'!T108="","",'INTERACTION-PAGE'!T108)</f>
        <v/>
      </c>
      <c r="U108" s="11" t="str">
        <f>IF('INTERACTION-PAGE'!U108="","",'INTERACTION-PAGE'!U108)</f>
        <v/>
      </c>
      <c r="V108" s="11" t="str">
        <f>IF('INTERACTION-PAGE'!V108="","",'INTERACTION-PAGE'!V108)</f>
        <v/>
      </c>
      <c r="W108" s="11" t="str">
        <f>IF('INTERACTION-PAGE'!W108="","",'INTERACTION-PAGE'!W108)</f>
        <v/>
      </c>
      <c r="X108" s="11" t="str">
        <f>IF('INTERACTION-PAGE'!X108="","",'INTERACTION-PAGE'!X108)</f>
        <v/>
      </c>
      <c r="Y108" s="27" t="str">
        <f t="shared" si="11"/>
        <v/>
      </c>
      <c r="Z108" s="27" t="str">
        <f t="shared" si="12"/>
        <v/>
      </c>
      <c r="AA108" s="27" t="str">
        <f t="shared" si="13"/>
        <v/>
      </c>
      <c r="AB108" s="27" t="str">
        <f t="shared" si="14"/>
        <v/>
      </c>
      <c r="AC108" s="27" t="str">
        <f t="shared" si="15"/>
        <v/>
      </c>
      <c r="AD108" s="27" t="str">
        <f t="shared" si="16"/>
        <v/>
      </c>
      <c r="AE108" s="28" t="str">
        <f t="shared" si="17"/>
        <v/>
      </c>
    </row>
    <row r="109" spans="1:31" ht="15" customHeight="1">
      <c r="A109" s="2">
        <v>99</v>
      </c>
      <c r="B109" s="11" t="str">
        <f>IF('INTERACTION-PAGE'!B109="","",'INTERACTION-PAGE'!B109)</f>
        <v/>
      </c>
      <c r="C109" s="11" t="str">
        <f>IF('INTERACTION-PAGE'!C109="","",'INTERACTION-PAGE'!C109)</f>
        <v/>
      </c>
      <c r="D109" s="11" t="str">
        <f>IF('INTERACTION-PAGE'!D109="","",'INTERACTION-PAGE'!D109)</f>
        <v/>
      </c>
      <c r="E109" s="11" t="str">
        <f>IF('INTERACTION-PAGE'!E109="","",'INTERACTION-PAGE'!E109)</f>
        <v/>
      </c>
      <c r="F109" s="11" t="str">
        <f>IF('INTERACTION-PAGE'!F109="","",'INTERACTION-PAGE'!F109)</f>
        <v/>
      </c>
      <c r="G109" s="11" t="str">
        <f>IF('INTERACTION-PAGE'!G109="","",'INTERACTION-PAGE'!G109)</f>
        <v/>
      </c>
      <c r="H109" s="11" t="str">
        <f>IF('INTERACTION-PAGE'!H109="","",'INTERACTION-PAGE'!H109)</f>
        <v/>
      </c>
      <c r="I109" s="11" t="str">
        <f>IF('INTERACTION-PAGE'!I109="","",'INTERACTION-PAGE'!I109)</f>
        <v/>
      </c>
      <c r="J109" s="11" t="str">
        <f>IF('INTERACTION-PAGE'!J109="","",'INTERACTION-PAGE'!J109)</f>
        <v/>
      </c>
      <c r="K109" s="11" t="str">
        <f>IF('INTERACTION-PAGE'!K109="","",'INTERACTION-PAGE'!K109)</f>
        <v/>
      </c>
      <c r="L109" s="11" t="str">
        <f>IF('INTERACTION-PAGE'!L109="","",'INTERACTION-PAGE'!L109)</f>
        <v/>
      </c>
      <c r="M109" s="11" t="str">
        <f>IF('INTERACTION-PAGE'!M109="","",'INTERACTION-PAGE'!M109)</f>
        <v/>
      </c>
      <c r="N109" s="11" t="str">
        <f>IF('INTERACTION-PAGE'!N109="","",'INTERACTION-PAGE'!N109)</f>
        <v/>
      </c>
      <c r="O109" s="11" t="str">
        <f>IF('INTERACTION-PAGE'!O109="","",'INTERACTION-PAGE'!O109)</f>
        <v/>
      </c>
      <c r="P109" s="11" t="str">
        <f>IF('INTERACTION-PAGE'!P109="","",'INTERACTION-PAGE'!P109)</f>
        <v/>
      </c>
      <c r="Q109" s="11" t="str">
        <f>IF('INTERACTION-PAGE'!Q109="","",'INTERACTION-PAGE'!Q109)</f>
        <v/>
      </c>
      <c r="R109" s="11" t="str">
        <f>IF('INTERACTION-PAGE'!R109="","",'INTERACTION-PAGE'!R109)</f>
        <v/>
      </c>
      <c r="S109" s="11" t="str">
        <f>IF('INTERACTION-PAGE'!S109="","",'INTERACTION-PAGE'!S109)</f>
        <v/>
      </c>
      <c r="T109" s="11" t="str">
        <f>IF('INTERACTION-PAGE'!T109="","",'INTERACTION-PAGE'!T109)</f>
        <v/>
      </c>
      <c r="U109" s="11" t="str">
        <f>IF('INTERACTION-PAGE'!U109="","",'INTERACTION-PAGE'!U109)</f>
        <v/>
      </c>
      <c r="V109" s="11" t="str">
        <f>IF('INTERACTION-PAGE'!V109="","",'INTERACTION-PAGE'!V109)</f>
        <v/>
      </c>
      <c r="W109" s="11" t="str">
        <f>IF('INTERACTION-PAGE'!W109="","",'INTERACTION-PAGE'!W109)</f>
        <v/>
      </c>
      <c r="X109" s="11" t="str">
        <f>IF('INTERACTION-PAGE'!X109="","",'INTERACTION-PAGE'!X109)</f>
        <v/>
      </c>
      <c r="Y109" s="27" t="str">
        <f t="shared" si="11"/>
        <v/>
      </c>
      <c r="Z109" s="27" t="str">
        <f t="shared" si="12"/>
        <v/>
      </c>
      <c r="AA109" s="27" t="str">
        <f t="shared" si="13"/>
        <v/>
      </c>
      <c r="AB109" s="27" t="str">
        <f t="shared" si="14"/>
        <v/>
      </c>
      <c r="AC109" s="27" t="str">
        <f t="shared" si="15"/>
        <v/>
      </c>
      <c r="AD109" s="27" t="str">
        <f t="shared" si="16"/>
        <v/>
      </c>
      <c r="AE109" s="28" t="str">
        <f t="shared" si="17"/>
        <v/>
      </c>
    </row>
    <row r="110" spans="1:31" ht="15" customHeight="1">
      <c r="A110" s="3">
        <v>100</v>
      </c>
      <c r="B110" s="11" t="str">
        <f>IF('INTERACTION-PAGE'!B110="","",'INTERACTION-PAGE'!B110)</f>
        <v/>
      </c>
      <c r="C110" s="11" t="str">
        <f>IF('INTERACTION-PAGE'!C110="","",'INTERACTION-PAGE'!C110)</f>
        <v/>
      </c>
      <c r="D110" s="11" t="str">
        <f>IF('INTERACTION-PAGE'!D110="","",'INTERACTION-PAGE'!D110)</f>
        <v/>
      </c>
      <c r="E110" s="11" t="str">
        <f>IF('INTERACTION-PAGE'!E110="","",'INTERACTION-PAGE'!E110)</f>
        <v/>
      </c>
      <c r="F110" s="11" t="str">
        <f>IF('INTERACTION-PAGE'!F110="","",'INTERACTION-PAGE'!F110)</f>
        <v/>
      </c>
      <c r="G110" s="11" t="str">
        <f>IF('INTERACTION-PAGE'!G110="","",'INTERACTION-PAGE'!G110)</f>
        <v/>
      </c>
      <c r="H110" s="11" t="str">
        <f>IF('INTERACTION-PAGE'!H110="","",'INTERACTION-PAGE'!H110)</f>
        <v/>
      </c>
      <c r="I110" s="11" t="str">
        <f>IF('INTERACTION-PAGE'!I110="","",'INTERACTION-PAGE'!I110)</f>
        <v/>
      </c>
      <c r="J110" s="11" t="str">
        <f>IF('INTERACTION-PAGE'!J110="","",'INTERACTION-PAGE'!J110)</f>
        <v/>
      </c>
      <c r="K110" s="11" t="str">
        <f>IF('INTERACTION-PAGE'!K110="","",'INTERACTION-PAGE'!K110)</f>
        <v/>
      </c>
      <c r="L110" s="11" t="str">
        <f>IF('INTERACTION-PAGE'!L110="","",'INTERACTION-PAGE'!L110)</f>
        <v/>
      </c>
      <c r="M110" s="11" t="str">
        <f>IF('INTERACTION-PAGE'!M110="","",'INTERACTION-PAGE'!M110)</f>
        <v/>
      </c>
      <c r="N110" s="11" t="str">
        <f>IF('INTERACTION-PAGE'!N110="","",'INTERACTION-PAGE'!N110)</f>
        <v/>
      </c>
      <c r="O110" s="11" t="str">
        <f>IF('INTERACTION-PAGE'!O110="","",'INTERACTION-PAGE'!O110)</f>
        <v/>
      </c>
      <c r="P110" s="11" t="str">
        <f>IF('INTERACTION-PAGE'!P110="","",'INTERACTION-PAGE'!P110)</f>
        <v/>
      </c>
      <c r="Q110" s="11" t="str">
        <f>IF('INTERACTION-PAGE'!Q110="","",'INTERACTION-PAGE'!Q110)</f>
        <v/>
      </c>
      <c r="R110" s="11" t="str">
        <f>IF('INTERACTION-PAGE'!R110="","",'INTERACTION-PAGE'!R110)</f>
        <v/>
      </c>
      <c r="S110" s="11" t="str">
        <f>IF('INTERACTION-PAGE'!S110="","",'INTERACTION-PAGE'!S110)</f>
        <v/>
      </c>
      <c r="T110" s="11" t="str">
        <f>IF('INTERACTION-PAGE'!T110="","",'INTERACTION-PAGE'!T110)</f>
        <v/>
      </c>
      <c r="U110" s="11" t="str">
        <f>IF('INTERACTION-PAGE'!U110="","",'INTERACTION-PAGE'!U110)</f>
        <v/>
      </c>
      <c r="V110" s="11" t="str">
        <f>IF('INTERACTION-PAGE'!V110="","",'INTERACTION-PAGE'!V110)</f>
        <v/>
      </c>
      <c r="W110" s="11" t="str">
        <f>IF('INTERACTION-PAGE'!W110="","",'INTERACTION-PAGE'!W110)</f>
        <v/>
      </c>
      <c r="X110" s="11" t="str">
        <f>IF('INTERACTION-PAGE'!X110="","",'INTERACTION-PAGE'!X110)</f>
        <v/>
      </c>
      <c r="Y110" s="27" t="str">
        <f t="shared" si="11"/>
        <v/>
      </c>
      <c r="Z110" s="27" t="str">
        <f t="shared" si="12"/>
        <v/>
      </c>
      <c r="AA110" s="27" t="str">
        <f t="shared" si="13"/>
        <v/>
      </c>
      <c r="AB110" s="27" t="str">
        <f t="shared" si="14"/>
        <v/>
      </c>
      <c r="AC110" s="27" t="str">
        <f t="shared" si="15"/>
        <v/>
      </c>
      <c r="AD110" s="27" t="str">
        <f t="shared" si="16"/>
        <v/>
      </c>
      <c r="AE110" s="28" t="str">
        <f t="shared" si="17"/>
        <v/>
      </c>
    </row>
    <row r="111" spans="1:31" ht="15" customHeight="1">
      <c r="A111" s="2">
        <v>101</v>
      </c>
      <c r="B111" s="11" t="str">
        <f>IF('INTERACTION-PAGE'!B111="","",'INTERACTION-PAGE'!B111)</f>
        <v/>
      </c>
      <c r="C111" s="11" t="str">
        <f>IF('INTERACTION-PAGE'!C111="","",'INTERACTION-PAGE'!C111)</f>
        <v/>
      </c>
      <c r="D111" s="11" t="str">
        <f>IF('INTERACTION-PAGE'!D111="","",'INTERACTION-PAGE'!D111)</f>
        <v/>
      </c>
      <c r="E111" s="11" t="str">
        <f>IF('INTERACTION-PAGE'!E111="","",'INTERACTION-PAGE'!E111)</f>
        <v/>
      </c>
      <c r="F111" s="11" t="str">
        <f>IF('INTERACTION-PAGE'!F111="","",'INTERACTION-PAGE'!F111)</f>
        <v/>
      </c>
      <c r="G111" s="11" t="str">
        <f>IF('INTERACTION-PAGE'!G111="","",'INTERACTION-PAGE'!G111)</f>
        <v/>
      </c>
      <c r="H111" s="11" t="str">
        <f>IF('INTERACTION-PAGE'!H111="","",'INTERACTION-PAGE'!H111)</f>
        <v/>
      </c>
      <c r="I111" s="11" t="str">
        <f>IF('INTERACTION-PAGE'!I111="","",'INTERACTION-PAGE'!I111)</f>
        <v/>
      </c>
      <c r="J111" s="11" t="str">
        <f>IF('INTERACTION-PAGE'!J111="","",'INTERACTION-PAGE'!J111)</f>
        <v/>
      </c>
      <c r="K111" s="11" t="str">
        <f>IF('INTERACTION-PAGE'!K111="","",'INTERACTION-PAGE'!K111)</f>
        <v/>
      </c>
      <c r="L111" s="11" t="str">
        <f>IF('INTERACTION-PAGE'!L111="","",'INTERACTION-PAGE'!L111)</f>
        <v/>
      </c>
      <c r="M111" s="11" t="str">
        <f>IF('INTERACTION-PAGE'!M111="","",'INTERACTION-PAGE'!M111)</f>
        <v/>
      </c>
      <c r="N111" s="11" t="str">
        <f>IF('INTERACTION-PAGE'!N111="","",'INTERACTION-PAGE'!N111)</f>
        <v/>
      </c>
      <c r="O111" s="11" t="str">
        <f>IF('INTERACTION-PAGE'!O111="","",'INTERACTION-PAGE'!O111)</f>
        <v/>
      </c>
      <c r="P111" s="11" t="str">
        <f>IF('INTERACTION-PAGE'!P111="","",'INTERACTION-PAGE'!P111)</f>
        <v/>
      </c>
      <c r="Q111" s="11" t="str">
        <f>IF('INTERACTION-PAGE'!Q111="","",'INTERACTION-PAGE'!Q111)</f>
        <v/>
      </c>
      <c r="R111" s="11" t="str">
        <f>IF('INTERACTION-PAGE'!R111="","",'INTERACTION-PAGE'!R111)</f>
        <v/>
      </c>
      <c r="S111" s="11" t="str">
        <f>IF('INTERACTION-PAGE'!S111="","",'INTERACTION-PAGE'!S111)</f>
        <v/>
      </c>
      <c r="T111" s="11" t="str">
        <f>IF('INTERACTION-PAGE'!T111="","",'INTERACTION-PAGE'!T111)</f>
        <v/>
      </c>
      <c r="U111" s="11" t="str">
        <f>IF('INTERACTION-PAGE'!U111="","",'INTERACTION-PAGE'!U111)</f>
        <v/>
      </c>
      <c r="V111" s="11" t="str">
        <f>IF('INTERACTION-PAGE'!V111="","",'INTERACTION-PAGE'!V111)</f>
        <v/>
      </c>
      <c r="W111" s="11" t="str">
        <f>IF('INTERACTION-PAGE'!W111="","",'INTERACTION-PAGE'!W111)</f>
        <v/>
      </c>
      <c r="X111" s="11" t="str">
        <f>IF('INTERACTION-PAGE'!X111="","",'INTERACTION-PAGE'!X111)</f>
        <v/>
      </c>
      <c r="Y111" s="27" t="str">
        <f t="shared" si="11"/>
        <v/>
      </c>
      <c r="Z111" s="27" t="str">
        <f t="shared" si="12"/>
        <v/>
      </c>
      <c r="AA111" s="27" t="str">
        <f t="shared" si="13"/>
        <v/>
      </c>
      <c r="AB111" s="27" t="str">
        <f t="shared" si="14"/>
        <v/>
      </c>
      <c r="AC111" s="27" t="str">
        <f t="shared" si="15"/>
        <v/>
      </c>
      <c r="AD111" s="27" t="str">
        <f t="shared" si="16"/>
        <v/>
      </c>
      <c r="AE111" s="28" t="str">
        <f t="shared" si="17"/>
        <v/>
      </c>
    </row>
    <row r="112" spans="1:31" ht="15" customHeight="1">
      <c r="A112" s="3">
        <v>102</v>
      </c>
      <c r="B112" s="11" t="str">
        <f>IF('INTERACTION-PAGE'!B112="","",'INTERACTION-PAGE'!B112)</f>
        <v/>
      </c>
      <c r="C112" s="11" t="str">
        <f>IF('INTERACTION-PAGE'!C112="","",'INTERACTION-PAGE'!C112)</f>
        <v/>
      </c>
      <c r="D112" s="11" t="str">
        <f>IF('INTERACTION-PAGE'!D112="","",'INTERACTION-PAGE'!D112)</f>
        <v/>
      </c>
      <c r="E112" s="11" t="str">
        <f>IF('INTERACTION-PAGE'!E112="","",'INTERACTION-PAGE'!E112)</f>
        <v/>
      </c>
      <c r="F112" s="11" t="str">
        <f>IF('INTERACTION-PAGE'!F112="","",'INTERACTION-PAGE'!F112)</f>
        <v/>
      </c>
      <c r="G112" s="11" t="str">
        <f>IF('INTERACTION-PAGE'!G112="","",'INTERACTION-PAGE'!G112)</f>
        <v/>
      </c>
      <c r="H112" s="11" t="str">
        <f>IF('INTERACTION-PAGE'!H112="","",'INTERACTION-PAGE'!H112)</f>
        <v/>
      </c>
      <c r="I112" s="11" t="str">
        <f>IF('INTERACTION-PAGE'!I112="","",'INTERACTION-PAGE'!I112)</f>
        <v/>
      </c>
      <c r="J112" s="11" t="str">
        <f>IF('INTERACTION-PAGE'!J112="","",'INTERACTION-PAGE'!J112)</f>
        <v/>
      </c>
      <c r="K112" s="11" t="str">
        <f>IF('INTERACTION-PAGE'!K112="","",'INTERACTION-PAGE'!K112)</f>
        <v/>
      </c>
      <c r="L112" s="11" t="str">
        <f>IF('INTERACTION-PAGE'!L112="","",'INTERACTION-PAGE'!L112)</f>
        <v/>
      </c>
      <c r="M112" s="11" t="str">
        <f>IF('INTERACTION-PAGE'!M112="","",'INTERACTION-PAGE'!M112)</f>
        <v/>
      </c>
      <c r="N112" s="11" t="str">
        <f>IF('INTERACTION-PAGE'!N112="","",'INTERACTION-PAGE'!N112)</f>
        <v/>
      </c>
      <c r="O112" s="11" t="str">
        <f>IF('INTERACTION-PAGE'!O112="","",'INTERACTION-PAGE'!O112)</f>
        <v/>
      </c>
      <c r="P112" s="11" t="str">
        <f>IF('INTERACTION-PAGE'!P112="","",'INTERACTION-PAGE'!P112)</f>
        <v/>
      </c>
      <c r="Q112" s="11" t="str">
        <f>IF('INTERACTION-PAGE'!Q112="","",'INTERACTION-PAGE'!Q112)</f>
        <v/>
      </c>
      <c r="R112" s="11" t="str">
        <f>IF('INTERACTION-PAGE'!R112="","",'INTERACTION-PAGE'!R112)</f>
        <v/>
      </c>
      <c r="S112" s="11" t="str">
        <f>IF('INTERACTION-PAGE'!S112="","",'INTERACTION-PAGE'!S112)</f>
        <v/>
      </c>
      <c r="T112" s="11" t="str">
        <f>IF('INTERACTION-PAGE'!T112="","",'INTERACTION-PAGE'!T112)</f>
        <v/>
      </c>
      <c r="U112" s="11" t="str">
        <f>IF('INTERACTION-PAGE'!U112="","",'INTERACTION-PAGE'!U112)</f>
        <v/>
      </c>
      <c r="V112" s="11" t="str">
        <f>IF('INTERACTION-PAGE'!V112="","",'INTERACTION-PAGE'!V112)</f>
        <v/>
      </c>
      <c r="W112" s="11" t="str">
        <f>IF('INTERACTION-PAGE'!W112="","",'INTERACTION-PAGE'!W112)</f>
        <v/>
      </c>
      <c r="X112" s="11" t="str">
        <f>IF('INTERACTION-PAGE'!X112="","",'INTERACTION-PAGE'!X112)</f>
        <v/>
      </c>
      <c r="Y112" s="27" t="str">
        <f t="shared" si="11"/>
        <v/>
      </c>
      <c r="Z112" s="27" t="str">
        <f t="shared" si="12"/>
        <v/>
      </c>
      <c r="AA112" s="27" t="str">
        <f t="shared" si="13"/>
        <v/>
      </c>
      <c r="AB112" s="27" t="str">
        <f t="shared" si="14"/>
        <v/>
      </c>
      <c r="AC112" s="27" t="str">
        <f t="shared" si="15"/>
        <v/>
      </c>
      <c r="AD112" s="27" t="str">
        <f t="shared" si="16"/>
        <v/>
      </c>
      <c r="AE112" s="28" t="str">
        <f t="shared" si="17"/>
        <v/>
      </c>
    </row>
    <row r="113" spans="1:31" ht="15" customHeight="1">
      <c r="A113" s="2">
        <v>103</v>
      </c>
      <c r="B113" s="11" t="str">
        <f>IF('INTERACTION-PAGE'!B113="","",'INTERACTION-PAGE'!B113)</f>
        <v/>
      </c>
      <c r="C113" s="11" t="str">
        <f>IF('INTERACTION-PAGE'!C113="","",'INTERACTION-PAGE'!C113)</f>
        <v/>
      </c>
      <c r="D113" s="11" t="str">
        <f>IF('INTERACTION-PAGE'!D113="","",'INTERACTION-PAGE'!D113)</f>
        <v/>
      </c>
      <c r="E113" s="11" t="str">
        <f>IF('INTERACTION-PAGE'!E113="","",'INTERACTION-PAGE'!E113)</f>
        <v/>
      </c>
      <c r="F113" s="11" t="str">
        <f>IF('INTERACTION-PAGE'!F113="","",'INTERACTION-PAGE'!F113)</f>
        <v/>
      </c>
      <c r="G113" s="11" t="str">
        <f>IF('INTERACTION-PAGE'!G113="","",'INTERACTION-PAGE'!G113)</f>
        <v/>
      </c>
      <c r="H113" s="11" t="str">
        <f>IF('INTERACTION-PAGE'!H113="","",'INTERACTION-PAGE'!H113)</f>
        <v/>
      </c>
      <c r="I113" s="11" t="str">
        <f>IF('INTERACTION-PAGE'!I113="","",'INTERACTION-PAGE'!I113)</f>
        <v/>
      </c>
      <c r="J113" s="11" t="str">
        <f>IF('INTERACTION-PAGE'!J113="","",'INTERACTION-PAGE'!J113)</f>
        <v/>
      </c>
      <c r="K113" s="11" t="str">
        <f>IF('INTERACTION-PAGE'!K113="","",'INTERACTION-PAGE'!K113)</f>
        <v/>
      </c>
      <c r="L113" s="11" t="str">
        <f>IF('INTERACTION-PAGE'!L113="","",'INTERACTION-PAGE'!L113)</f>
        <v/>
      </c>
      <c r="M113" s="11" t="str">
        <f>IF('INTERACTION-PAGE'!M113="","",'INTERACTION-PAGE'!M113)</f>
        <v/>
      </c>
      <c r="N113" s="11" t="str">
        <f>IF('INTERACTION-PAGE'!N113="","",'INTERACTION-PAGE'!N113)</f>
        <v/>
      </c>
      <c r="O113" s="11" t="str">
        <f>IF('INTERACTION-PAGE'!O113="","",'INTERACTION-PAGE'!O113)</f>
        <v/>
      </c>
      <c r="P113" s="11" t="str">
        <f>IF('INTERACTION-PAGE'!P113="","",'INTERACTION-PAGE'!P113)</f>
        <v/>
      </c>
      <c r="Q113" s="11" t="str">
        <f>IF('INTERACTION-PAGE'!Q113="","",'INTERACTION-PAGE'!Q113)</f>
        <v/>
      </c>
      <c r="R113" s="11" t="str">
        <f>IF('INTERACTION-PAGE'!R113="","",'INTERACTION-PAGE'!R113)</f>
        <v/>
      </c>
      <c r="S113" s="11" t="str">
        <f>IF('INTERACTION-PAGE'!S113="","",'INTERACTION-PAGE'!S113)</f>
        <v/>
      </c>
      <c r="T113" s="11" t="str">
        <f>IF('INTERACTION-PAGE'!T113="","",'INTERACTION-PAGE'!T113)</f>
        <v/>
      </c>
      <c r="U113" s="11" t="str">
        <f>IF('INTERACTION-PAGE'!U113="","",'INTERACTION-PAGE'!U113)</f>
        <v/>
      </c>
      <c r="V113" s="11" t="str">
        <f>IF('INTERACTION-PAGE'!V113="","",'INTERACTION-PAGE'!V113)</f>
        <v/>
      </c>
      <c r="W113" s="11" t="str">
        <f>IF('INTERACTION-PAGE'!W113="","",'INTERACTION-PAGE'!W113)</f>
        <v/>
      </c>
      <c r="X113" s="11" t="str">
        <f>IF('INTERACTION-PAGE'!X113="","",'INTERACTION-PAGE'!X113)</f>
        <v/>
      </c>
      <c r="Y113" s="27" t="str">
        <f t="shared" si="11"/>
        <v/>
      </c>
      <c r="Z113" s="27" t="str">
        <f t="shared" si="12"/>
        <v/>
      </c>
      <c r="AA113" s="27" t="str">
        <f t="shared" si="13"/>
        <v/>
      </c>
      <c r="AB113" s="27" t="str">
        <f t="shared" si="14"/>
        <v/>
      </c>
      <c r="AC113" s="27" t="str">
        <f t="shared" si="15"/>
        <v/>
      </c>
      <c r="AD113" s="27" t="str">
        <f t="shared" si="16"/>
        <v/>
      </c>
      <c r="AE113" s="28" t="str">
        <f t="shared" si="17"/>
        <v/>
      </c>
    </row>
    <row r="114" spans="1:31" ht="15" customHeight="1">
      <c r="A114" s="3">
        <v>104</v>
      </c>
      <c r="B114" s="11" t="str">
        <f>IF('INTERACTION-PAGE'!B114="","",'INTERACTION-PAGE'!B114)</f>
        <v/>
      </c>
      <c r="C114" s="11" t="str">
        <f>IF('INTERACTION-PAGE'!C114="","",'INTERACTION-PAGE'!C114)</f>
        <v/>
      </c>
      <c r="D114" s="11" t="str">
        <f>IF('INTERACTION-PAGE'!D114="","",'INTERACTION-PAGE'!D114)</f>
        <v/>
      </c>
      <c r="E114" s="11" t="str">
        <f>IF('INTERACTION-PAGE'!E114="","",'INTERACTION-PAGE'!E114)</f>
        <v/>
      </c>
      <c r="F114" s="11" t="str">
        <f>IF('INTERACTION-PAGE'!F114="","",'INTERACTION-PAGE'!F114)</f>
        <v/>
      </c>
      <c r="G114" s="11" t="str">
        <f>IF('INTERACTION-PAGE'!G114="","",'INTERACTION-PAGE'!G114)</f>
        <v/>
      </c>
      <c r="H114" s="11" t="str">
        <f>IF('INTERACTION-PAGE'!H114="","",'INTERACTION-PAGE'!H114)</f>
        <v/>
      </c>
      <c r="I114" s="11" t="str">
        <f>IF('INTERACTION-PAGE'!I114="","",'INTERACTION-PAGE'!I114)</f>
        <v/>
      </c>
      <c r="J114" s="11" t="str">
        <f>IF('INTERACTION-PAGE'!J114="","",'INTERACTION-PAGE'!J114)</f>
        <v/>
      </c>
      <c r="K114" s="11" t="str">
        <f>IF('INTERACTION-PAGE'!K114="","",'INTERACTION-PAGE'!K114)</f>
        <v/>
      </c>
      <c r="L114" s="11" t="str">
        <f>IF('INTERACTION-PAGE'!L114="","",'INTERACTION-PAGE'!L114)</f>
        <v/>
      </c>
      <c r="M114" s="11" t="str">
        <f>IF('INTERACTION-PAGE'!M114="","",'INTERACTION-PAGE'!M114)</f>
        <v/>
      </c>
      <c r="N114" s="11" t="str">
        <f>IF('INTERACTION-PAGE'!N114="","",'INTERACTION-PAGE'!N114)</f>
        <v/>
      </c>
      <c r="O114" s="11" t="str">
        <f>IF('INTERACTION-PAGE'!O114="","",'INTERACTION-PAGE'!O114)</f>
        <v/>
      </c>
      <c r="P114" s="11" t="str">
        <f>IF('INTERACTION-PAGE'!P114="","",'INTERACTION-PAGE'!P114)</f>
        <v/>
      </c>
      <c r="Q114" s="11" t="str">
        <f>IF('INTERACTION-PAGE'!Q114="","",'INTERACTION-PAGE'!Q114)</f>
        <v/>
      </c>
      <c r="R114" s="11" t="str">
        <f>IF('INTERACTION-PAGE'!R114="","",'INTERACTION-PAGE'!R114)</f>
        <v/>
      </c>
      <c r="S114" s="11" t="str">
        <f>IF('INTERACTION-PAGE'!S114="","",'INTERACTION-PAGE'!S114)</f>
        <v/>
      </c>
      <c r="T114" s="11" t="str">
        <f>IF('INTERACTION-PAGE'!T114="","",'INTERACTION-PAGE'!T114)</f>
        <v/>
      </c>
      <c r="U114" s="11" t="str">
        <f>IF('INTERACTION-PAGE'!U114="","",'INTERACTION-PAGE'!U114)</f>
        <v/>
      </c>
      <c r="V114" s="11" t="str">
        <f>IF('INTERACTION-PAGE'!V114="","",'INTERACTION-PAGE'!V114)</f>
        <v/>
      </c>
      <c r="W114" s="11" t="str">
        <f>IF('INTERACTION-PAGE'!W114="","",'INTERACTION-PAGE'!W114)</f>
        <v/>
      </c>
      <c r="X114" s="11" t="str">
        <f>IF('INTERACTION-PAGE'!X114="","",'INTERACTION-PAGE'!X114)</f>
        <v/>
      </c>
      <c r="Y114" s="27" t="str">
        <f t="shared" si="11"/>
        <v/>
      </c>
      <c r="Z114" s="27" t="str">
        <f t="shared" si="12"/>
        <v/>
      </c>
      <c r="AA114" s="27" t="str">
        <f t="shared" si="13"/>
        <v/>
      </c>
      <c r="AB114" s="27" t="str">
        <f t="shared" si="14"/>
        <v/>
      </c>
      <c r="AC114" s="27" t="str">
        <f t="shared" si="15"/>
        <v/>
      </c>
      <c r="AD114" s="27" t="str">
        <f t="shared" si="16"/>
        <v/>
      </c>
      <c r="AE114" s="28" t="str">
        <f t="shared" si="17"/>
        <v/>
      </c>
    </row>
    <row r="115" spans="1:31" ht="15" customHeight="1">
      <c r="A115" s="2">
        <v>105</v>
      </c>
      <c r="B115" s="11" t="str">
        <f>IF('INTERACTION-PAGE'!B115="","",'INTERACTION-PAGE'!B115)</f>
        <v/>
      </c>
      <c r="C115" s="11" t="str">
        <f>IF('INTERACTION-PAGE'!C115="","",'INTERACTION-PAGE'!C115)</f>
        <v/>
      </c>
      <c r="D115" s="11" t="str">
        <f>IF('INTERACTION-PAGE'!D115="","",'INTERACTION-PAGE'!D115)</f>
        <v/>
      </c>
      <c r="E115" s="11" t="str">
        <f>IF('INTERACTION-PAGE'!E115="","",'INTERACTION-PAGE'!E115)</f>
        <v/>
      </c>
      <c r="F115" s="11" t="str">
        <f>IF('INTERACTION-PAGE'!F115="","",'INTERACTION-PAGE'!F115)</f>
        <v/>
      </c>
      <c r="G115" s="11" t="str">
        <f>IF('INTERACTION-PAGE'!G115="","",'INTERACTION-PAGE'!G115)</f>
        <v/>
      </c>
      <c r="H115" s="11" t="str">
        <f>IF('INTERACTION-PAGE'!H115="","",'INTERACTION-PAGE'!H115)</f>
        <v/>
      </c>
      <c r="I115" s="11" t="str">
        <f>IF('INTERACTION-PAGE'!I115="","",'INTERACTION-PAGE'!I115)</f>
        <v/>
      </c>
      <c r="J115" s="11" t="str">
        <f>IF('INTERACTION-PAGE'!J115="","",'INTERACTION-PAGE'!J115)</f>
        <v/>
      </c>
      <c r="K115" s="11" t="str">
        <f>IF('INTERACTION-PAGE'!K115="","",'INTERACTION-PAGE'!K115)</f>
        <v/>
      </c>
      <c r="L115" s="11" t="str">
        <f>IF('INTERACTION-PAGE'!L115="","",'INTERACTION-PAGE'!L115)</f>
        <v/>
      </c>
      <c r="M115" s="11" t="str">
        <f>IF('INTERACTION-PAGE'!M115="","",'INTERACTION-PAGE'!M115)</f>
        <v/>
      </c>
      <c r="N115" s="11" t="str">
        <f>IF('INTERACTION-PAGE'!N115="","",'INTERACTION-PAGE'!N115)</f>
        <v/>
      </c>
      <c r="O115" s="11" t="str">
        <f>IF('INTERACTION-PAGE'!O115="","",'INTERACTION-PAGE'!O115)</f>
        <v/>
      </c>
      <c r="P115" s="11" t="str">
        <f>IF('INTERACTION-PAGE'!P115="","",'INTERACTION-PAGE'!P115)</f>
        <v/>
      </c>
      <c r="Q115" s="11" t="str">
        <f>IF('INTERACTION-PAGE'!Q115="","",'INTERACTION-PAGE'!Q115)</f>
        <v/>
      </c>
      <c r="R115" s="11" t="str">
        <f>IF('INTERACTION-PAGE'!R115="","",'INTERACTION-PAGE'!R115)</f>
        <v/>
      </c>
      <c r="S115" s="11" t="str">
        <f>IF('INTERACTION-PAGE'!S115="","",'INTERACTION-PAGE'!S115)</f>
        <v/>
      </c>
      <c r="T115" s="11" t="str">
        <f>IF('INTERACTION-PAGE'!T115="","",'INTERACTION-PAGE'!T115)</f>
        <v/>
      </c>
      <c r="U115" s="11" t="str">
        <f>IF('INTERACTION-PAGE'!U115="","",'INTERACTION-PAGE'!U115)</f>
        <v/>
      </c>
      <c r="V115" s="11" t="str">
        <f>IF('INTERACTION-PAGE'!V115="","",'INTERACTION-PAGE'!V115)</f>
        <v/>
      </c>
      <c r="W115" s="11" t="str">
        <f>IF('INTERACTION-PAGE'!W115="","",'INTERACTION-PAGE'!W115)</f>
        <v/>
      </c>
      <c r="X115" s="11" t="str">
        <f>IF('INTERACTION-PAGE'!X115="","",'INTERACTION-PAGE'!X115)</f>
        <v/>
      </c>
      <c r="Y115" s="27" t="str">
        <f t="shared" si="11"/>
        <v/>
      </c>
      <c r="Z115" s="27" t="str">
        <f t="shared" si="12"/>
        <v/>
      </c>
      <c r="AA115" s="27" t="str">
        <f t="shared" si="13"/>
        <v/>
      </c>
      <c r="AB115" s="27" t="str">
        <f t="shared" si="14"/>
        <v/>
      </c>
      <c r="AC115" s="27" t="str">
        <f t="shared" si="15"/>
        <v/>
      </c>
      <c r="AD115" s="27" t="str">
        <f t="shared" si="16"/>
        <v/>
      </c>
      <c r="AE115" s="28" t="str">
        <f t="shared" si="17"/>
        <v/>
      </c>
    </row>
    <row r="116" spans="1:31" ht="15" customHeight="1">
      <c r="A116" s="3">
        <v>106</v>
      </c>
      <c r="B116" s="11" t="str">
        <f>IF('INTERACTION-PAGE'!B116="","",'INTERACTION-PAGE'!B116)</f>
        <v/>
      </c>
      <c r="C116" s="11" t="str">
        <f>IF('INTERACTION-PAGE'!C116="","",'INTERACTION-PAGE'!C116)</f>
        <v/>
      </c>
      <c r="D116" s="11" t="str">
        <f>IF('INTERACTION-PAGE'!D116="","",'INTERACTION-PAGE'!D116)</f>
        <v/>
      </c>
      <c r="E116" s="11" t="str">
        <f>IF('INTERACTION-PAGE'!E116="","",'INTERACTION-PAGE'!E116)</f>
        <v/>
      </c>
      <c r="F116" s="11" t="str">
        <f>IF('INTERACTION-PAGE'!F116="","",'INTERACTION-PAGE'!F116)</f>
        <v/>
      </c>
      <c r="G116" s="11" t="str">
        <f>IF('INTERACTION-PAGE'!G116="","",'INTERACTION-PAGE'!G116)</f>
        <v/>
      </c>
      <c r="H116" s="11" t="str">
        <f>IF('INTERACTION-PAGE'!H116="","",'INTERACTION-PAGE'!H116)</f>
        <v/>
      </c>
      <c r="I116" s="11" t="str">
        <f>IF('INTERACTION-PAGE'!I116="","",'INTERACTION-PAGE'!I116)</f>
        <v/>
      </c>
      <c r="J116" s="11" t="str">
        <f>IF('INTERACTION-PAGE'!J116="","",'INTERACTION-PAGE'!J116)</f>
        <v/>
      </c>
      <c r="K116" s="11" t="str">
        <f>IF('INTERACTION-PAGE'!K116="","",'INTERACTION-PAGE'!K116)</f>
        <v/>
      </c>
      <c r="L116" s="11" t="str">
        <f>IF('INTERACTION-PAGE'!L116="","",'INTERACTION-PAGE'!L116)</f>
        <v/>
      </c>
      <c r="M116" s="11" t="str">
        <f>IF('INTERACTION-PAGE'!M116="","",'INTERACTION-PAGE'!M116)</f>
        <v/>
      </c>
      <c r="N116" s="11" t="str">
        <f>IF('INTERACTION-PAGE'!N116="","",'INTERACTION-PAGE'!N116)</f>
        <v/>
      </c>
      <c r="O116" s="11" t="str">
        <f>IF('INTERACTION-PAGE'!O116="","",'INTERACTION-PAGE'!O116)</f>
        <v/>
      </c>
      <c r="P116" s="11" t="str">
        <f>IF('INTERACTION-PAGE'!P116="","",'INTERACTION-PAGE'!P116)</f>
        <v/>
      </c>
      <c r="Q116" s="11" t="str">
        <f>IF('INTERACTION-PAGE'!Q116="","",'INTERACTION-PAGE'!Q116)</f>
        <v/>
      </c>
      <c r="R116" s="11" t="str">
        <f>IF('INTERACTION-PAGE'!R116="","",'INTERACTION-PAGE'!R116)</f>
        <v/>
      </c>
      <c r="S116" s="11" t="str">
        <f>IF('INTERACTION-PAGE'!S116="","",'INTERACTION-PAGE'!S116)</f>
        <v/>
      </c>
      <c r="T116" s="11" t="str">
        <f>IF('INTERACTION-PAGE'!T116="","",'INTERACTION-PAGE'!T116)</f>
        <v/>
      </c>
      <c r="U116" s="11" t="str">
        <f>IF('INTERACTION-PAGE'!U116="","",'INTERACTION-PAGE'!U116)</f>
        <v/>
      </c>
      <c r="V116" s="11" t="str">
        <f>IF('INTERACTION-PAGE'!V116="","",'INTERACTION-PAGE'!V116)</f>
        <v/>
      </c>
      <c r="W116" s="11" t="str">
        <f>IF('INTERACTION-PAGE'!W116="","",'INTERACTION-PAGE'!W116)</f>
        <v/>
      </c>
      <c r="X116" s="11" t="str">
        <f>IF('INTERACTION-PAGE'!X116="","",'INTERACTION-PAGE'!X116)</f>
        <v/>
      </c>
      <c r="Y116" s="27" t="str">
        <f t="shared" si="11"/>
        <v/>
      </c>
      <c r="Z116" s="27" t="str">
        <f t="shared" si="12"/>
        <v/>
      </c>
      <c r="AA116" s="27" t="str">
        <f t="shared" si="13"/>
        <v/>
      </c>
      <c r="AB116" s="27" t="str">
        <f t="shared" si="14"/>
        <v/>
      </c>
      <c r="AC116" s="27" t="str">
        <f t="shared" si="15"/>
        <v/>
      </c>
      <c r="AD116" s="27" t="str">
        <f t="shared" si="16"/>
        <v/>
      </c>
      <c r="AE116" s="28" t="str">
        <f t="shared" si="17"/>
        <v/>
      </c>
    </row>
    <row r="117" spans="1:31" ht="15" customHeight="1">
      <c r="A117" s="2">
        <v>107</v>
      </c>
      <c r="B117" s="11" t="str">
        <f>IF('INTERACTION-PAGE'!B117="","",'INTERACTION-PAGE'!B117)</f>
        <v/>
      </c>
      <c r="C117" s="11" t="str">
        <f>IF('INTERACTION-PAGE'!C117="","",'INTERACTION-PAGE'!C117)</f>
        <v/>
      </c>
      <c r="D117" s="11" t="str">
        <f>IF('INTERACTION-PAGE'!D117="","",'INTERACTION-PAGE'!D117)</f>
        <v/>
      </c>
      <c r="E117" s="11" t="str">
        <f>IF('INTERACTION-PAGE'!E117="","",'INTERACTION-PAGE'!E117)</f>
        <v/>
      </c>
      <c r="F117" s="11" t="str">
        <f>IF('INTERACTION-PAGE'!F117="","",'INTERACTION-PAGE'!F117)</f>
        <v/>
      </c>
      <c r="G117" s="11" t="str">
        <f>IF('INTERACTION-PAGE'!G117="","",'INTERACTION-PAGE'!G117)</f>
        <v/>
      </c>
      <c r="H117" s="11" t="str">
        <f>IF('INTERACTION-PAGE'!H117="","",'INTERACTION-PAGE'!H117)</f>
        <v/>
      </c>
      <c r="I117" s="11" t="str">
        <f>IF('INTERACTION-PAGE'!I117="","",'INTERACTION-PAGE'!I117)</f>
        <v/>
      </c>
      <c r="J117" s="11" t="str">
        <f>IF('INTERACTION-PAGE'!J117="","",'INTERACTION-PAGE'!J117)</f>
        <v/>
      </c>
      <c r="K117" s="11" t="str">
        <f>IF('INTERACTION-PAGE'!K117="","",'INTERACTION-PAGE'!K117)</f>
        <v/>
      </c>
      <c r="L117" s="11" t="str">
        <f>IF('INTERACTION-PAGE'!L117="","",'INTERACTION-PAGE'!L117)</f>
        <v/>
      </c>
      <c r="M117" s="11" t="str">
        <f>IF('INTERACTION-PAGE'!M117="","",'INTERACTION-PAGE'!M117)</f>
        <v/>
      </c>
      <c r="N117" s="11" t="str">
        <f>IF('INTERACTION-PAGE'!N117="","",'INTERACTION-PAGE'!N117)</f>
        <v/>
      </c>
      <c r="O117" s="11" t="str">
        <f>IF('INTERACTION-PAGE'!O117="","",'INTERACTION-PAGE'!O117)</f>
        <v/>
      </c>
      <c r="P117" s="11" t="str">
        <f>IF('INTERACTION-PAGE'!P117="","",'INTERACTION-PAGE'!P117)</f>
        <v/>
      </c>
      <c r="Q117" s="11" t="str">
        <f>IF('INTERACTION-PAGE'!Q117="","",'INTERACTION-PAGE'!Q117)</f>
        <v/>
      </c>
      <c r="R117" s="11" t="str">
        <f>IF('INTERACTION-PAGE'!R117="","",'INTERACTION-PAGE'!R117)</f>
        <v/>
      </c>
      <c r="S117" s="11" t="str">
        <f>IF('INTERACTION-PAGE'!S117="","",'INTERACTION-PAGE'!S117)</f>
        <v/>
      </c>
      <c r="T117" s="11" t="str">
        <f>IF('INTERACTION-PAGE'!T117="","",'INTERACTION-PAGE'!T117)</f>
        <v/>
      </c>
      <c r="U117" s="11" t="str">
        <f>IF('INTERACTION-PAGE'!U117="","",'INTERACTION-PAGE'!U117)</f>
        <v/>
      </c>
      <c r="V117" s="11" t="str">
        <f>IF('INTERACTION-PAGE'!V117="","",'INTERACTION-PAGE'!V117)</f>
        <v/>
      </c>
      <c r="W117" s="11" t="str">
        <f>IF('INTERACTION-PAGE'!W117="","",'INTERACTION-PAGE'!W117)</f>
        <v/>
      </c>
      <c r="X117" s="11" t="str">
        <f>IF('INTERACTION-PAGE'!X117="","",'INTERACTION-PAGE'!X117)</f>
        <v/>
      </c>
      <c r="Y117" s="27" t="str">
        <f t="shared" si="11"/>
        <v/>
      </c>
      <c r="Z117" s="27" t="str">
        <f t="shared" si="12"/>
        <v/>
      </c>
      <c r="AA117" s="27" t="str">
        <f t="shared" si="13"/>
        <v/>
      </c>
      <c r="AB117" s="27" t="str">
        <f t="shared" si="14"/>
        <v/>
      </c>
      <c r="AC117" s="27" t="str">
        <f t="shared" si="15"/>
        <v/>
      </c>
      <c r="AD117" s="27" t="str">
        <f t="shared" si="16"/>
        <v/>
      </c>
      <c r="AE117" s="28" t="str">
        <f t="shared" si="17"/>
        <v/>
      </c>
    </row>
    <row r="118" spans="1:31" ht="15" customHeight="1">
      <c r="A118" s="3">
        <v>108</v>
      </c>
      <c r="B118" s="11" t="str">
        <f>IF('INTERACTION-PAGE'!B118="","",'INTERACTION-PAGE'!B118)</f>
        <v/>
      </c>
      <c r="C118" s="11" t="str">
        <f>IF('INTERACTION-PAGE'!C118="","",'INTERACTION-PAGE'!C118)</f>
        <v/>
      </c>
      <c r="D118" s="11" t="str">
        <f>IF('INTERACTION-PAGE'!D118="","",'INTERACTION-PAGE'!D118)</f>
        <v/>
      </c>
      <c r="E118" s="11" t="str">
        <f>IF('INTERACTION-PAGE'!E118="","",'INTERACTION-PAGE'!E118)</f>
        <v/>
      </c>
      <c r="F118" s="11" t="str">
        <f>IF('INTERACTION-PAGE'!F118="","",'INTERACTION-PAGE'!F118)</f>
        <v/>
      </c>
      <c r="G118" s="11" t="str">
        <f>IF('INTERACTION-PAGE'!G118="","",'INTERACTION-PAGE'!G118)</f>
        <v/>
      </c>
      <c r="H118" s="11" t="str">
        <f>IF('INTERACTION-PAGE'!H118="","",'INTERACTION-PAGE'!H118)</f>
        <v/>
      </c>
      <c r="I118" s="11" t="str">
        <f>IF('INTERACTION-PAGE'!I118="","",'INTERACTION-PAGE'!I118)</f>
        <v/>
      </c>
      <c r="J118" s="11" t="str">
        <f>IF('INTERACTION-PAGE'!J118="","",'INTERACTION-PAGE'!J118)</f>
        <v/>
      </c>
      <c r="K118" s="11" t="str">
        <f>IF('INTERACTION-PAGE'!K118="","",'INTERACTION-PAGE'!K118)</f>
        <v/>
      </c>
      <c r="L118" s="11" t="str">
        <f>IF('INTERACTION-PAGE'!L118="","",'INTERACTION-PAGE'!L118)</f>
        <v/>
      </c>
      <c r="M118" s="11" t="str">
        <f>IF('INTERACTION-PAGE'!M118="","",'INTERACTION-PAGE'!M118)</f>
        <v/>
      </c>
      <c r="N118" s="11" t="str">
        <f>IF('INTERACTION-PAGE'!N118="","",'INTERACTION-PAGE'!N118)</f>
        <v/>
      </c>
      <c r="O118" s="11" t="str">
        <f>IF('INTERACTION-PAGE'!O118="","",'INTERACTION-PAGE'!O118)</f>
        <v/>
      </c>
      <c r="P118" s="11" t="str">
        <f>IF('INTERACTION-PAGE'!P118="","",'INTERACTION-PAGE'!P118)</f>
        <v/>
      </c>
      <c r="Q118" s="11" t="str">
        <f>IF('INTERACTION-PAGE'!Q118="","",'INTERACTION-PAGE'!Q118)</f>
        <v/>
      </c>
      <c r="R118" s="11" t="str">
        <f>IF('INTERACTION-PAGE'!R118="","",'INTERACTION-PAGE'!R118)</f>
        <v/>
      </c>
      <c r="S118" s="11" t="str">
        <f>IF('INTERACTION-PAGE'!S118="","",'INTERACTION-PAGE'!S118)</f>
        <v/>
      </c>
      <c r="T118" s="11" t="str">
        <f>IF('INTERACTION-PAGE'!T118="","",'INTERACTION-PAGE'!T118)</f>
        <v/>
      </c>
      <c r="U118" s="11" t="str">
        <f>IF('INTERACTION-PAGE'!U118="","",'INTERACTION-PAGE'!U118)</f>
        <v/>
      </c>
      <c r="V118" s="11" t="str">
        <f>IF('INTERACTION-PAGE'!V118="","",'INTERACTION-PAGE'!V118)</f>
        <v/>
      </c>
      <c r="W118" s="11" t="str">
        <f>IF('INTERACTION-PAGE'!W118="","",'INTERACTION-PAGE'!W118)</f>
        <v/>
      </c>
      <c r="X118" s="11" t="str">
        <f>IF('INTERACTION-PAGE'!X118="","",'INTERACTION-PAGE'!X118)</f>
        <v/>
      </c>
      <c r="Y118" s="27" t="str">
        <f t="shared" si="11"/>
        <v/>
      </c>
      <c r="Z118" s="27" t="str">
        <f t="shared" si="12"/>
        <v/>
      </c>
      <c r="AA118" s="27" t="str">
        <f t="shared" si="13"/>
        <v/>
      </c>
      <c r="AB118" s="27" t="str">
        <f t="shared" si="14"/>
        <v/>
      </c>
      <c r="AC118" s="27" t="str">
        <f t="shared" si="15"/>
        <v/>
      </c>
      <c r="AD118" s="27" t="str">
        <f t="shared" si="16"/>
        <v/>
      </c>
      <c r="AE118" s="28" t="str">
        <f t="shared" si="17"/>
        <v/>
      </c>
    </row>
    <row r="119" spans="1:31" ht="15" customHeight="1">
      <c r="A119" s="2">
        <v>109</v>
      </c>
      <c r="B119" s="11" t="str">
        <f>IF('INTERACTION-PAGE'!B119="","",'INTERACTION-PAGE'!B119)</f>
        <v/>
      </c>
      <c r="C119" s="11" t="str">
        <f>IF('INTERACTION-PAGE'!C119="","",'INTERACTION-PAGE'!C119)</f>
        <v/>
      </c>
      <c r="D119" s="11" t="str">
        <f>IF('INTERACTION-PAGE'!D119="","",'INTERACTION-PAGE'!D119)</f>
        <v/>
      </c>
      <c r="E119" s="11" t="str">
        <f>IF('INTERACTION-PAGE'!E119="","",'INTERACTION-PAGE'!E119)</f>
        <v/>
      </c>
      <c r="F119" s="11" t="str">
        <f>IF('INTERACTION-PAGE'!F119="","",'INTERACTION-PAGE'!F119)</f>
        <v/>
      </c>
      <c r="G119" s="11" t="str">
        <f>IF('INTERACTION-PAGE'!G119="","",'INTERACTION-PAGE'!G119)</f>
        <v/>
      </c>
      <c r="H119" s="11" t="str">
        <f>IF('INTERACTION-PAGE'!H119="","",'INTERACTION-PAGE'!H119)</f>
        <v/>
      </c>
      <c r="I119" s="11" t="str">
        <f>IF('INTERACTION-PAGE'!I119="","",'INTERACTION-PAGE'!I119)</f>
        <v/>
      </c>
      <c r="J119" s="11" t="str">
        <f>IF('INTERACTION-PAGE'!J119="","",'INTERACTION-PAGE'!J119)</f>
        <v/>
      </c>
      <c r="K119" s="11" t="str">
        <f>IF('INTERACTION-PAGE'!K119="","",'INTERACTION-PAGE'!K119)</f>
        <v/>
      </c>
      <c r="L119" s="11" t="str">
        <f>IF('INTERACTION-PAGE'!L119="","",'INTERACTION-PAGE'!L119)</f>
        <v/>
      </c>
      <c r="M119" s="11" t="str">
        <f>IF('INTERACTION-PAGE'!M119="","",'INTERACTION-PAGE'!M119)</f>
        <v/>
      </c>
      <c r="N119" s="11" t="str">
        <f>IF('INTERACTION-PAGE'!N119="","",'INTERACTION-PAGE'!N119)</f>
        <v/>
      </c>
      <c r="O119" s="11" t="str">
        <f>IF('INTERACTION-PAGE'!O119="","",'INTERACTION-PAGE'!O119)</f>
        <v/>
      </c>
      <c r="P119" s="11" t="str">
        <f>IF('INTERACTION-PAGE'!P119="","",'INTERACTION-PAGE'!P119)</f>
        <v/>
      </c>
      <c r="Q119" s="11" t="str">
        <f>IF('INTERACTION-PAGE'!Q119="","",'INTERACTION-PAGE'!Q119)</f>
        <v/>
      </c>
      <c r="R119" s="11" t="str">
        <f>IF('INTERACTION-PAGE'!R119="","",'INTERACTION-PAGE'!R119)</f>
        <v/>
      </c>
      <c r="S119" s="11" t="str">
        <f>IF('INTERACTION-PAGE'!S119="","",'INTERACTION-PAGE'!S119)</f>
        <v/>
      </c>
      <c r="T119" s="11" t="str">
        <f>IF('INTERACTION-PAGE'!T119="","",'INTERACTION-PAGE'!T119)</f>
        <v/>
      </c>
      <c r="U119" s="11" t="str">
        <f>IF('INTERACTION-PAGE'!U119="","",'INTERACTION-PAGE'!U119)</f>
        <v/>
      </c>
      <c r="V119" s="11" t="str">
        <f>IF('INTERACTION-PAGE'!V119="","",'INTERACTION-PAGE'!V119)</f>
        <v/>
      </c>
      <c r="W119" s="11" t="str">
        <f>IF('INTERACTION-PAGE'!W119="","",'INTERACTION-PAGE'!W119)</f>
        <v/>
      </c>
      <c r="X119" s="11" t="str">
        <f>IF('INTERACTION-PAGE'!X119="","",'INTERACTION-PAGE'!X119)</f>
        <v/>
      </c>
      <c r="Y119" s="27" t="str">
        <f t="shared" si="11"/>
        <v/>
      </c>
      <c r="Z119" s="27" t="str">
        <f t="shared" si="12"/>
        <v/>
      </c>
      <c r="AA119" s="27" t="str">
        <f t="shared" si="13"/>
        <v/>
      </c>
      <c r="AB119" s="27" t="str">
        <f t="shared" si="14"/>
        <v/>
      </c>
      <c r="AC119" s="27" t="str">
        <f t="shared" si="15"/>
        <v/>
      </c>
      <c r="AD119" s="27" t="str">
        <f t="shared" si="16"/>
        <v/>
      </c>
      <c r="AE119" s="28" t="str">
        <f t="shared" si="17"/>
        <v/>
      </c>
    </row>
    <row r="120" spans="1:31" ht="15" customHeight="1">
      <c r="A120" s="3">
        <v>110</v>
      </c>
      <c r="B120" s="11" t="str">
        <f>IF('INTERACTION-PAGE'!B120="","",'INTERACTION-PAGE'!B120)</f>
        <v/>
      </c>
      <c r="C120" s="11" t="str">
        <f>IF('INTERACTION-PAGE'!C120="","",'INTERACTION-PAGE'!C120)</f>
        <v/>
      </c>
      <c r="D120" s="11" t="str">
        <f>IF('INTERACTION-PAGE'!D120="","",'INTERACTION-PAGE'!D120)</f>
        <v/>
      </c>
      <c r="E120" s="11" t="str">
        <f>IF('INTERACTION-PAGE'!E120="","",'INTERACTION-PAGE'!E120)</f>
        <v/>
      </c>
      <c r="F120" s="11" t="str">
        <f>IF('INTERACTION-PAGE'!F120="","",'INTERACTION-PAGE'!F120)</f>
        <v/>
      </c>
      <c r="G120" s="11" t="str">
        <f>IF('INTERACTION-PAGE'!G120="","",'INTERACTION-PAGE'!G120)</f>
        <v/>
      </c>
      <c r="H120" s="11" t="str">
        <f>IF('INTERACTION-PAGE'!H120="","",'INTERACTION-PAGE'!H120)</f>
        <v/>
      </c>
      <c r="I120" s="11" t="str">
        <f>IF('INTERACTION-PAGE'!I120="","",'INTERACTION-PAGE'!I120)</f>
        <v/>
      </c>
      <c r="J120" s="11" t="str">
        <f>IF('INTERACTION-PAGE'!J120="","",'INTERACTION-PAGE'!J120)</f>
        <v/>
      </c>
      <c r="K120" s="11" t="str">
        <f>IF('INTERACTION-PAGE'!K120="","",'INTERACTION-PAGE'!K120)</f>
        <v/>
      </c>
      <c r="L120" s="11" t="str">
        <f>IF('INTERACTION-PAGE'!L120="","",'INTERACTION-PAGE'!L120)</f>
        <v/>
      </c>
      <c r="M120" s="11" t="str">
        <f>IF('INTERACTION-PAGE'!M120="","",'INTERACTION-PAGE'!M120)</f>
        <v/>
      </c>
      <c r="N120" s="11" t="str">
        <f>IF('INTERACTION-PAGE'!N120="","",'INTERACTION-PAGE'!N120)</f>
        <v/>
      </c>
      <c r="O120" s="11" t="str">
        <f>IF('INTERACTION-PAGE'!O120="","",'INTERACTION-PAGE'!O120)</f>
        <v/>
      </c>
      <c r="P120" s="11" t="str">
        <f>IF('INTERACTION-PAGE'!P120="","",'INTERACTION-PAGE'!P120)</f>
        <v/>
      </c>
      <c r="Q120" s="11" t="str">
        <f>IF('INTERACTION-PAGE'!Q120="","",'INTERACTION-PAGE'!Q120)</f>
        <v/>
      </c>
      <c r="R120" s="11" t="str">
        <f>IF('INTERACTION-PAGE'!R120="","",'INTERACTION-PAGE'!R120)</f>
        <v/>
      </c>
      <c r="S120" s="11" t="str">
        <f>IF('INTERACTION-PAGE'!S120="","",'INTERACTION-PAGE'!S120)</f>
        <v/>
      </c>
      <c r="T120" s="11" t="str">
        <f>IF('INTERACTION-PAGE'!T120="","",'INTERACTION-PAGE'!T120)</f>
        <v/>
      </c>
      <c r="U120" s="11" t="str">
        <f>IF('INTERACTION-PAGE'!U120="","",'INTERACTION-PAGE'!U120)</f>
        <v/>
      </c>
      <c r="V120" s="11" t="str">
        <f>IF('INTERACTION-PAGE'!V120="","",'INTERACTION-PAGE'!V120)</f>
        <v/>
      </c>
      <c r="W120" s="11" t="str">
        <f>IF('INTERACTION-PAGE'!W120="","",'INTERACTION-PAGE'!W120)</f>
        <v/>
      </c>
      <c r="X120" s="11" t="str">
        <f>IF('INTERACTION-PAGE'!X120="","",'INTERACTION-PAGE'!X120)</f>
        <v/>
      </c>
      <c r="Y120" s="27" t="str">
        <f t="shared" si="11"/>
        <v/>
      </c>
      <c r="Z120" s="27" t="str">
        <f t="shared" si="12"/>
        <v/>
      </c>
      <c r="AA120" s="27" t="str">
        <f t="shared" si="13"/>
        <v/>
      </c>
      <c r="AB120" s="27" t="str">
        <f t="shared" si="14"/>
        <v/>
      </c>
      <c r="AC120" s="27" t="str">
        <f t="shared" si="15"/>
        <v/>
      </c>
      <c r="AD120" s="27" t="str">
        <f t="shared" si="16"/>
        <v/>
      </c>
      <c r="AE120" s="28" t="str">
        <f t="shared" si="17"/>
        <v/>
      </c>
    </row>
    <row r="121" spans="1:31" ht="15" customHeight="1">
      <c r="A121" s="2">
        <v>111</v>
      </c>
      <c r="B121" s="11" t="str">
        <f>IF('INTERACTION-PAGE'!B121="","",'INTERACTION-PAGE'!B121)</f>
        <v/>
      </c>
      <c r="C121" s="11" t="str">
        <f>IF('INTERACTION-PAGE'!C121="","",'INTERACTION-PAGE'!C121)</f>
        <v/>
      </c>
      <c r="D121" s="11" t="str">
        <f>IF('INTERACTION-PAGE'!D121="","",'INTERACTION-PAGE'!D121)</f>
        <v/>
      </c>
      <c r="E121" s="11" t="str">
        <f>IF('INTERACTION-PAGE'!E121="","",'INTERACTION-PAGE'!E121)</f>
        <v/>
      </c>
      <c r="F121" s="11" t="str">
        <f>IF('INTERACTION-PAGE'!F121="","",'INTERACTION-PAGE'!F121)</f>
        <v/>
      </c>
      <c r="G121" s="11" t="str">
        <f>IF('INTERACTION-PAGE'!G121="","",'INTERACTION-PAGE'!G121)</f>
        <v/>
      </c>
      <c r="H121" s="11" t="str">
        <f>IF('INTERACTION-PAGE'!H121="","",'INTERACTION-PAGE'!H121)</f>
        <v/>
      </c>
      <c r="I121" s="11" t="str">
        <f>IF('INTERACTION-PAGE'!I121="","",'INTERACTION-PAGE'!I121)</f>
        <v/>
      </c>
      <c r="J121" s="11" t="str">
        <f>IF('INTERACTION-PAGE'!J121="","",'INTERACTION-PAGE'!J121)</f>
        <v/>
      </c>
      <c r="K121" s="11" t="str">
        <f>IF('INTERACTION-PAGE'!K121="","",'INTERACTION-PAGE'!K121)</f>
        <v/>
      </c>
      <c r="L121" s="11" t="str">
        <f>IF('INTERACTION-PAGE'!L121="","",'INTERACTION-PAGE'!L121)</f>
        <v/>
      </c>
      <c r="M121" s="11" t="str">
        <f>IF('INTERACTION-PAGE'!M121="","",'INTERACTION-PAGE'!M121)</f>
        <v/>
      </c>
      <c r="N121" s="11" t="str">
        <f>IF('INTERACTION-PAGE'!N121="","",'INTERACTION-PAGE'!N121)</f>
        <v/>
      </c>
      <c r="O121" s="11" t="str">
        <f>IF('INTERACTION-PAGE'!O121="","",'INTERACTION-PAGE'!O121)</f>
        <v/>
      </c>
      <c r="P121" s="11" t="str">
        <f>IF('INTERACTION-PAGE'!P121="","",'INTERACTION-PAGE'!P121)</f>
        <v/>
      </c>
      <c r="Q121" s="11" t="str">
        <f>IF('INTERACTION-PAGE'!Q121="","",'INTERACTION-PAGE'!Q121)</f>
        <v/>
      </c>
      <c r="R121" s="11" t="str">
        <f>IF('INTERACTION-PAGE'!R121="","",'INTERACTION-PAGE'!R121)</f>
        <v/>
      </c>
      <c r="S121" s="11" t="str">
        <f>IF('INTERACTION-PAGE'!S121="","",'INTERACTION-PAGE'!S121)</f>
        <v/>
      </c>
      <c r="T121" s="11" t="str">
        <f>IF('INTERACTION-PAGE'!T121="","",'INTERACTION-PAGE'!T121)</f>
        <v/>
      </c>
      <c r="U121" s="11" t="str">
        <f>IF('INTERACTION-PAGE'!U121="","",'INTERACTION-PAGE'!U121)</f>
        <v/>
      </c>
      <c r="V121" s="11" t="str">
        <f>IF('INTERACTION-PAGE'!V121="","",'INTERACTION-PAGE'!V121)</f>
        <v/>
      </c>
      <c r="W121" s="11" t="str">
        <f>IF('INTERACTION-PAGE'!W121="","",'INTERACTION-PAGE'!W121)</f>
        <v/>
      </c>
      <c r="X121" s="11" t="str">
        <f>IF('INTERACTION-PAGE'!X121="","",'INTERACTION-PAGE'!X121)</f>
        <v/>
      </c>
      <c r="Y121" s="27" t="str">
        <f t="shared" si="11"/>
        <v/>
      </c>
      <c r="Z121" s="27" t="str">
        <f t="shared" si="12"/>
        <v/>
      </c>
      <c r="AA121" s="27" t="str">
        <f t="shared" si="13"/>
        <v/>
      </c>
      <c r="AB121" s="27" t="str">
        <f t="shared" si="14"/>
        <v/>
      </c>
      <c r="AC121" s="27" t="str">
        <f t="shared" si="15"/>
        <v/>
      </c>
      <c r="AD121" s="27" t="str">
        <f t="shared" si="16"/>
        <v/>
      </c>
      <c r="AE121" s="28" t="str">
        <f t="shared" si="17"/>
        <v/>
      </c>
    </row>
    <row r="122" spans="1:31" ht="15" customHeight="1">
      <c r="A122" s="3">
        <v>112</v>
      </c>
      <c r="B122" s="11" t="str">
        <f>IF('INTERACTION-PAGE'!B122="","",'INTERACTION-PAGE'!B122)</f>
        <v/>
      </c>
      <c r="C122" s="11" t="str">
        <f>IF('INTERACTION-PAGE'!C122="","",'INTERACTION-PAGE'!C122)</f>
        <v/>
      </c>
      <c r="D122" s="11" t="str">
        <f>IF('INTERACTION-PAGE'!D122="","",'INTERACTION-PAGE'!D122)</f>
        <v/>
      </c>
      <c r="E122" s="11" t="str">
        <f>IF('INTERACTION-PAGE'!E122="","",'INTERACTION-PAGE'!E122)</f>
        <v/>
      </c>
      <c r="F122" s="11" t="str">
        <f>IF('INTERACTION-PAGE'!F122="","",'INTERACTION-PAGE'!F122)</f>
        <v/>
      </c>
      <c r="G122" s="11" t="str">
        <f>IF('INTERACTION-PAGE'!G122="","",'INTERACTION-PAGE'!G122)</f>
        <v/>
      </c>
      <c r="H122" s="11" t="str">
        <f>IF('INTERACTION-PAGE'!H122="","",'INTERACTION-PAGE'!H122)</f>
        <v/>
      </c>
      <c r="I122" s="11" t="str">
        <f>IF('INTERACTION-PAGE'!I122="","",'INTERACTION-PAGE'!I122)</f>
        <v/>
      </c>
      <c r="J122" s="11" t="str">
        <f>IF('INTERACTION-PAGE'!J122="","",'INTERACTION-PAGE'!J122)</f>
        <v/>
      </c>
      <c r="K122" s="11" t="str">
        <f>IF('INTERACTION-PAGE'!K122="","",'INTERACTION-PAGE'!K122)</f>
        <v/>
      </c>
      <c r="L122" s="11" t="str">
        <f>IF('INTERACTION-PAGE'!L122="","",'INTERACTION-PAGE'!L122)</f>
        <v/>
      </c>
      <c r="M122" s="11" t="str">
        <f>IF('INTERACTION-PAGE'!M122="","",'INTERACTION-PAGE'!M122)</f>
        <v/>
      </c>
      <c r="N122" s="11" t="str">
        <f>IF('INTERACTION-PAGE'!N122="","",'INTERACTION-PAGE'!N122)</f>
        <v/>
      </c>
      <c r="O122" s="11" t="str">
        <f>IF('INTERACTION-PAGE'!O122="","",'INTERACTION-PAGE'!O122)</f>
        <v/>
      </c>
      <c r="P122" s="11" t="str">
        <f>IF('INTERACTION-PAGE'!P122="","",'INTERACTION-PAGE'!P122)</f>
        <v/>
      </c>
      <c r="Q122" s="11" t="str">
        <f>IF('INTERACTION-PAGE'!Q122="","",'INTERACTION-PAGE'!Q122)</f>
        <v/>
      </c>
      <c r="R122" s="11" t="str">
        <f>IF('INTERACTION-PAGE'!R122="","",'INTERACTION-PAGE'!R122)</f>
        <v/>
      </c>
      <c r="S122" s="11" t="str">
        <f>IF('INTERACTION-PAGE'!S122="","",'INTERACTION-PAGE'!S122)</f>
        <v/>
      </c>
      <c r="T122" s="11" t="str">
        <f>IF('INTERACTION-PAGE'!T122="","",'INTERACTION-PAGE'!T122)</f>
        <v/>
      </c>
      <c r="U122" s="11" t="str">
        <f>IF('INTERACTION-PAGE'!U122="","",'INTERACTION-PAGE'!U122)</f>
        <v/>
      </c>
      <c r="V122" s="11" t="str">
        <f>IF('INTERACTION-PAGE'!V122="","",'INTERACTION-PAGE'!V122)</f>
        <v/>
      </c>
      <c r="W122" s="11" t="str">
        <f>IF('INTERACTION-PAGE'!W122="","",'INTERACTION-PAGE'!W122)</f>
        <v/>
      </c>
      <c r="X122" s="11" t="str">
        <f>IF('INTERACTION-PAGE'!X122="","",'INTERACTION-PAGE'!X122)</f>
        <v/>
      </c>
      <c r="Y122" s="27" t="str">
        <f t="shared" si="11"/>
        <v/>
      </c>
      <c r="Z122" s="27" t="str">
        <f t="shared" si="12"/>
        <v/>
      </c>
      <c r="AA122" s="27" t="str">
        <f t="shared" si="13"/>
        <v/>
      </c>
      <c r="AB122" s="27" t="str">
        <f t="shared" si="14"/>
        <v/>
      </c>
      <c r="AC122" s="27" t="str">
        <f t="shared" si="15"/>
        <v/>
      </c>
      <c r="AD122" s="27" t="str">
        <f t="shared" si="16"/>
        <v/>
      </c>
      <c r="AE122" s="28" t="str">
        <f t="shared" si="17"/>
        <v/>
      </c>
    </row>
    <row r="123" spans="1:31" ht="15" customHeight="1">
      <c r="A123" s="2">
        <v>113</v>
      </c>
      <c r="B123" s="11" t="str">
        <f>IF('INTERACTION-PAGE'!B123="","",'INTERACTION-PAGE'!B123)</f>
        <v/>
      </c>
      <c r="C123" s="11" t="str">
        <f>IF('INTERACTION-PAGE'!C123="","",'INTERACTION-PAGE'!C123)</f>
        <v/>
      </c>
      <c r="D123" s="11" t="str">
        <f>IF('INTERACTION-PAGE'!D123="","",'INTERACTION-PAGE'!D123)</f>
        <v/>
      </c>
      <c r="E123" s="11" t="str">
        <f>IF('INTERACTION-PAGE'!E123="","",'INTERACTION-PAGE'!E123)</f>
        <v/>
      </c>
      <c r="F123" s="11" t="str">
        <f>IF('INTERACTION-PAGE'!F123="","",'INTERACTION-PAGE'!F123)</f>
        <v/>
      </c>
      <c r="G123" s="11" t="str">
        <f>IF('INTERACTION-PAGE'!G123="","",'INTERACTION-PAGE'!G123)</f>
        <v/>
      </c>
      <c r="H123" s="11" t="str">
        <f>IF('INTERACTION-PAGE'!H123="","",'INTERACTION-PAGE'!H123)</f>
        <v/>
      </c>
      <c r="I123" s="11" t="str">
        <f>IF('INTERACTION-PAGE'!I123="","",'INTERACTION-PAGE'!I123)</f>
        <v/>
      </c>
      <c r="J123" s="11" t="str">
        <f>IF('INTERACTION-PAGE'!J123="","",'INTERACTION-PAGE'!J123)</f>
        <v/>
      </c>
      <c r="K123" s="11" t="str">
        <f>IF('INTERACTION-PAGE'!K123="","",'INTERACTION-PAGE'!K123)</f>
        <v/>
      </c>
      <c r="L123" s="11" t="str">
        <f>IF('INTERACTION-PAGE'!L123="","",'INTERACTION-PAGE'!L123)</f>
        <v/>
      </c>
      <c r="M123" s="11" t="str">
        <f>IF('INTERACTION-PAGE'!M123="","",'INTERACTION-PAGE'!M123)</f>
        <v/>
      </c>
      <c r="N123" s="11" t="str">
        <f>IF('INTERACTION-PAGE'!N123="","",'INTERACTION-PAGE'!N123)</f>
        <v/>
      </c>
      <c r="O123" s="11" t="str">
        <f>IF('INTERACTION-PAGE'!O123="","",'INTERACTION-PAGE'!O123)</f>
        <v/>
      </c>
      <c r="P123" s="11" t="str">
        <f>IF('INTERACTION-PAGE'!P123="","",'INTERACTION-PAGE'!P123)</f>
        <v/>
      </c>
      <c r="Q123" s="11" t="str">
        <f>IF('INTERACTION-PAGE'!Q123="","",'INTERACTION-PAGE'!Q123)</f>
        <v/>
      </c>
      <c r="R123" s="11" t="str">
        <f>IF('INTERACTION-PAGE'!R123="","",'INTERACTION-PAGE'!R123)</f>
        <v/>
      </c>
      <c r="S123" s="11" t="str">
        <f>IF('INTERACTION-PAGE'!S123="","",'INTERACTION-PAGE'!S123)</f>
        <v/>
      </c>
      <c r="T123" s="11" t="str">
        <f>IF('INTERACTION-PAGE'!T123="","",'INTERACTION-PAGE'!T123)</f>
        <v/>
      </c>
      <c r="U123" s="11" t="str">
        <f>IF('INTERACTION-PAGE'!U123="","",'INTERACTION-PAGE'!U123)</f>
        <v/>
      </c>
      <c r="V123" s="11" t="str">
        <f>IF('INTERACTION-PAGE'!V123="","",'INTERACTION-PAGE'!V123)</f>
        <v/>
      </c>
      <c r="W123" s="11" t="str">
        <f>IF('INTERACTION-PAGE'!W123="","",'INTERACTION-PAGE'!W123)</f>
        <v/>
      </c>
      <c r="X123" s="11" t="str">
        <f>IF('INTERACTION-PAGE'!X123="","",'INTERACTION-PAGE'!X123)</f>
        <v/>
      </c>
      <c r="Y123" s="27" t="str">
        <f t="shared" si="11"/>
        <v/>
      </c>
      <c r="Z123" s="27" t="str">
        <f t="shared" si="12"/>
        <v/>
      </c>
      <c r="AA123" s="27" t="str">
        <f t="shared" si="13"/>
        <v/>
      </c>
      <c r="AB123" s="27" t="str">
        <f t="shared" si="14"/>
        <v/>
      </c>
      <c r="AC123" s="27" t="str">
        <f t="shared" si="15"/>
        <v/>
      </c>
      <c r="AD123" s="27" t="str">
        <f t="shared" si="16"/>
        <v/>
      </c>
      <c r="AE123" s="28" t="str">
        <f t="shared" si="17"/>
        <v/>
      </c>
    </row>
    <row r="124" spans="1:31" ht="15" customHeight="1">
      <c r="A124" s="3">
        <v>114</v>
      </c>
      <c r="B124" s="11" t="str">
        <f>IF('INTERACTION-PAGE'!B124="","",'INTERACTION-PAGE'!B124)</f>
        <v/>
      </c>
      <c r="C124" s="11" t="str">
        <f>IF('INTERACTION-PAGE'!C124="","",'INTERACTION-PAGE'!C124)</f>
        <v/>
      </c>
      <c r="D124" s="11" t="str">
        <f>IF('INTERACTION-PAGE'!D124="","",'INTERACTION-PAGE'!D124)</f>
        <v/>
      </c>
      <c r="E124" s="11" t="str">
        <f>IF('INTERACTION-PAGE'!E124="","",'INTERACTION-PAGE'!E124)</f>
        <v/>
      </c>
      <c r="F124" s="11" t="str">
        <f>IF('INTERACTION-PAGE'!F124="","",'INTERACTION-PAGE'!F124)</f>
        <v/>
      </c>
      <c r="G124" s="11" t="str">
        <f>IF('INTERACTION-PAGE'!G124="","",'INTERACTION-PAGE'!G124)</f>
        <v/>
      </c>
      <c r="H124" s="11" t="str">
        <f>IF('INTERACTION-PAGE'!H124="","",'INTERACTION-PAGE'!H124)</f>
        <v/>
      </c>
      <c r="I124" s="11" t="str">
        <f>IF('INTERACTION-PAGE'!I124="","",'INTERACTION-PAGE'!I124)</f>
        <v/>
      </c>
      <c r="J124" s="11" t="str">
        <f>IF('INTERACTION-PAGE'!J124="","",'INTERACTION-PAGE'!J124)</f>
        <v/>
      </c>
      <c r="K124" s="11" t="str">
        <f>IF('INTERACTION-PAGE'!K124="","",'INTERACTION-PAGE'!K124)</f>
        <v/>
      </c>
      <c r="L124" s="11" t="str">
        <f>IF('INTERACTION-PAGE'!L124="","",'INTERACTION-PAGE'!L124)</f>
        <v/>
      </c>
      <c r="M124" s="11" t="str">
        <f>IF('INTERACTION-PAGE'!M124="","",'INTERACTION-PAGE'!M124)</f>
        <v/>
      </c>
      <c r="N124" s="11" t="str">
        <f>IF('INTERACTION-PAGE'!N124="","",'INTERACTION-PAGE'!N124)</f>
        <v/>
      </c>
      <c r="O124" s="11" t="str">
        <f>IF('INTERACTION-PAGE'!O124="","",'INTERACTION-PAGE'!O124)</f>
        <v/>
      </c>
      <c r="P124" s="11" t="str">
        <f>IF('INTERACTION-PAGE'!P124="","",'INTERACTION-PAGE'!P124)</f>
        <v/>
      </c>
      <c r="Q124" s="11" t="str">
        <f>IF('INTERACTION-PAGE'!Q124="","",'INTERACTION-PAGE'!Q124)</f>
        <v/>
      </c>
      <c r="R124" s="11" t="str">
        <f>IF('INTERACTION-PAGE'!R124="","",'INTERACTION-PAGE'!R124)</f>
        <v/>
      </c>
      <c r="S124" s="11" t="str">
        <f>IF('INTERACTION-PAGE'!S124="","",'INTERACTION-PAGE'!S124)</f>
        <v/>
      </c>
      <c r="T124" s="11" t="str">
        <f>IF('INTERACTION-PAGE'!T124="","",'INTERACTION-PAGE'!T124)</f>
        <v/>
      </c>
      <c r="U124" s="11" t="str">
        <f>IF('INTERACTION-PAGE'!U124="","",'INTERACTION-PAGE'!U124)</f>
        <v/>
      </c>
      <c r="V124" s="11" t="str">
        <f>IF('INTERACTION-PAGE'!V124="","",'INTERACTION-PAGE'!V124)</f>
        <v/>
      </c>
      <c r="W124" s="11" t="str">
        <f>IF('INTERACTION-PAGE'!W124="","",'INTERACTION-PAGE'!W124)</f>
        <v/>
      </c>
      <c r="X124" s="11" t="str">
        <f>IF('INTERACTION-PAGE'!X124="","",'INTERACTION-PAGE'!X124)</f>
        <v/>
      </c>
      <c r="Y124" s="27" t="str">
        <f t="shared" si="11"/>
        <v/>
      </c>
      <c r="Z124" s="27" t="str">
        <f t="shared" si="12"/>
        <v/>
      </c>
      <c r="AA124" s="27" t="str">
        <f t="shared" si="13"/>
        <v/>
      </c>
      <c r="AB124" s="27" t="str">
        <f t="shared" si="14"/>
        <v/>
      </c>
      <c r="AC124" s="27" t="str">
        <f t="shared" si="15"/>
        <v/>
      </c>
      <c r="AD124" s="27" t="str">
        <f t="shared" si="16"/>
        <v/>
      </c>
      <c r="AE124" s="28" t="str">
        <f t="shared" si="17"/>
        <v/>
      </c>
    </row>
    <row r="125" spans="1:31" ht="15" customHeight="1">
      <c r="A125" s="2">
        <v>115</v>
      </c>
      <c r="B125" s="11" t="str">
        <f>IF('INTERACTION-PAGE'!B125="","",'INTERACTION-PAGE'!B125)</f>
        <v/>
      </c>
      <c r="C125" s="11" t="str">
        <f>IF('INTERACTION-PAGE'!C125="","",'INTERACTION-PAGE'!C125)</f>
        <v/>
      </c>
      <c r="D125" s="11" t="str">
        <f>IF('INTERACTION-PAGE'!D125="","",'INTERACTION-PAGE'!D125)</f>
        <v/>
      </c>
      <c r="E125" s="11" t="str">
        <f>IF('INTERACTION-PAGE'!E125="","",'INTERACTION-PAGE'!E125)</f>
        <v/>
      </c>
      <c r="F125" s="11" t="str">
        <f>IF('INTERACTION-PAGE'!F125="","",'INTERACTION-PAGE'!F125)</f>
        <v/>
      </c>
      <c r="G125" s="11" t="str">
        <f>IF('INTERACTION-PAGE'!G125="","",'INTERACTION-PAGE'!G125)</f>
        <v/>
      </c>
      <c r="H125" s="11" t="str">
        <f>IF('INTERACTION-PAGE'!H125="","",'INTERACTION-PAGE'!H125)</f>
        <v/>
      </c>
      <c r="I125" s="11" t="str">
        <f>IF('INTERACTION-PAGE'!I125="","",'INTERACTION-PAGE'!I125)</f>
        <v/>
      </c>
      <c r="J125" s="11" t="str">
        <f>IF('INTERACTION-PAGE'!J125="","",'INTERACTION-PAGE'!J125)</f>
        <v/>
      </c>
      <c r="K125" s="11" t="str">
        <f>IF('INTERACTION-PAGE'!K125="","",'INTERACTION-PAGE'!K125)</f>
        <v/>
      </c>
      <c r="L125" s="11" t="str">
        <f>IF('INTERACTION-PAGE'!L125="","",'INTERACTION-PAGE'!L125)</f>
        <v/>
      </c>
      <c r="M125" s="11" t="str">
        <f>IF('INTERACTION-PAGE'!M125="","",'INTERACTION-PAGE'!M125)</f>
        <v/>
      </c>
      <c r="N125" s="11" t="str">
        <f>IF('INTERACTION-PAGE'!N125="","",'INTERACTION-PAGE'!N125)</f>
        <v/>
      </c>
      <c r="O125" s="11" t="str">
        <f>IF('INTERACTION-PAGE'!O125="","",'INTERACTION-PAGE'!O125)</f>
        <v/>
      </c>
      <c r="P125" s="11" t="str">
        <f>IF('INTERACTION-PAGE'!P125="","",'INTERACTION-PAGE'!P125)</f>
        <v/>
      </c>
      <c r="Q125" s="11" t="str">
        <f>IF('INTERACTION-PAGE'!Q125="","",'INTERACTION-PAGE'!Q125)</f>
        <v/>
      </c>
      <c r="R125" s="11" t="str">
        <f>IF('INTERACTION-PAGE'!R125="","",'INTERACTION-PAGE'!R125)</f>
        <v/>
      </c>
      <c r="S125" s="11" t="str">
        <f>IF('INTERACTION-PAGE'!S125="","",'INTERACTION-PAGE'!S125)</f>
        <v/>
      </c>
      <c r="T125" s="11" t="str">
        <f>IF('INTERACTION-PAGE'!T125="","",'INTERACTION-PAGE'!T125)</f>
        <v/>
      </c>
      <c r="U125" s="11" t="str">
        <f>IF('INTERACTION-PAGE'!U125="","",'INTERACTION-PAGE'!U125)</f>
        <v/>
      </c>
      <c r="V125" s="11" t="str">
        <f>IF('INTERACTION-PAGE'!V125="","",'INTERACTION-PAGE'!V125)</f>
        <v/>
      </c>
      <c r="W125" s="11" t="str">
        <f>IF('INTERACTION-PAGE'!W125="","",'INTERACTION-PAGE'!W125)</f>
        <v/>
      </c>
      <c r="X125" s="11" t="str">
        <f>IF('INTERACTION-PAGE'!X125="","",'INTERACTION-PAGE'!X125)</f>
        <v/>
      </c>
      <c r="Y125" s="27" t="str">
        <f t="shared" si="11"/>
        <v/>
      </c>
      <c r="Z125" s="27" t="str">
        <f t="shared" si="12"/>
        <v/>
      </c>
      <c r="AA125" s="27" t="str">
        <f t="shared" si="13"/>
        <v/>
      </c>
      <c r="AB125" s="27" t="str">
        <f t="shared" si="14"/>
        <v/>
      </c>
      <c r="AC125" s="27" t="str">
        <f t="shared" si="15"/>
        <v/>
      </c>
      <c r="AD125" s="27" t="str">
        <f t="shared" si="16"/>
        <v/>
      </c>
      <c r="AE125" s="28" t="str">
        <f t="shared" si="17"/>
        <v/>
      </c>
    </row>
    <row r="126" spans="1:31" ht="15" customHeight="1">
      <c r="A126" s="3">
        <v>116</v>
      </c>
      <c r="B126" s="11" t="str">
        <f>IF('INTERACTION-PAGE'!B126="","",'INTERACTION-PAGE'!B126)</f>
        <v/>
      </c>
      <c r="C126" s="11" t="str">
        <f>IF('INTERACTION-PAGE'!C126="","",'INTERACTION-PAGE'!C126)</f>
        <v/>
      </c>
      <c r="D126" s="11" t="str">
        <f>IF('INTERACTION-PAGE'!D126="","",'INTERACTION-PAGE'!D126)</f>
        <v/>
      </c>
      <c r="E126" s="11" t="str">
        <f>IF('INTERACTION-PAGE'!E126="","",'INTERACTION-PAGE'!E126)</f>
        <v/>
      </c>
      <c r="F126" s="11" t="str">
        <f>IF('INTERACTION-PAGE'!F126="","",'INTERACTION-PAGE'!F126)</f>
        <v/>
      </c>
      <c r="G126" s="11" t="str">
        <f>IF('INTERACTION-PAGE'!G126="","",'INTERACTION-PAGE'!G126)</f>
        <v/>
      </c>
      <c r="H126" s="11" t="str">
        <f>IF('INTERACTION-PAGE'!H126="","",'INTERACTION-PAGE'!H126)</f>
        <v/>
      </c>
      <c r="I126" s="11" t="str">
        <f>IF('INTERACTION-PAGE'!I126="","",'INTERACTION-PAGE'!I126)</f>
        <v/>
      </c>
      <c r="J126" s="11" t="str">
        <f>IF('INTERACTION-PAGE'!J126="","",'INTERACTION-PAGE'!J126)</f>
        <v/>
      </c>
      <c r="K126" s="11" t="str">
        <f>IF('INTERACTION-PAGE'!K126="","",'INTERACTION-PAGE'!K126)</f>
        <v/>
      </c>
      <c r="L126" s="11" t="str">
        <f>IF('INTERACTION-PAGE'!L126="","",'INTERACTION-PAGE'!L126)</f>
        <v/>
      </c>
      <c r="M126" s="11" t="str">
        <f>IF('INTERACTION-PAGE'!M126="","",'INTERACTION-PAGE'!M126)</f>
        <v/>
      </c>
      <c r="N126" s="11" t="str">
        <f>IF('INTERACTION-PAGE'!N126="","",'INTERACTION-PAGE'!N126)</f>
        <v/>
      </c>
      <c r="O126" s="11" t="str">
        <f>IF('INTERACTION-PAGE'!O126="","",'INTERACTION-PAGE'!O126)</f>
        <v/>
      </c>
      <c r="P126" s="11" t="str">
        <f>IF('INTERACTION-PAGE'!P126="","",'INTERACTION-PAGE'!P126)</f>
        <v/>
      </c>
      <c r="Q126" s="11" t="str">
        <f>IF('INTERACTION-PAGE'!Q126="","",'INTERACTION-PAGE'!Q126)</f>
        <v/>
      </c>
      <c r="R126" s="11" t="str">
        <f>IF('INTERACTION-PAGE'!R126="","",'INTERACTION-PAGE'!R126)</f>
        <v/>
      </c>
      <c r="S126" s="11" t="str">
        <f>IF('INTERACTION-PAGE'!S126="","",'INTERACTION-PAGE'!S126)</f>
        <v/>
      </c>
      <c r="T126" s="11" t="str">
        <f>IF('INTERACTION-PAGE'!T126="","",'INTERACTION-PAGE'!T126)</f>
        <v/>
      </c>
      <c r="U126" s="11" t="str">
        <f>IF('INTERACTION-PAGE'!U126="","",'INTERACTION-PAGE'!U126)</f>
        <v/>
      </c>
      <c r="V126" s="11" t="str">
        <f>IF('INTERACTION-PAGE'!V126="","",'INTERACTION-PAGE'!V126)</f>
        <v/>
      </c>
      <c r="W126" s="11" t="str">
        <f>IF('INTERACTION-PAGE'!W126="","",'INTERACTION-PAGE'!W126)</f>
        <v/>
      </c>
      <c r="X126" s="11" t="str">
        <f>IF('INTERACTION-PAGE'!X126="","",'INTERACTION-PAGE'!X126)</f>
        <v/>
      </c>
      <c r="Y126" s="27" t="str">
        <f t="shared" si="11"/>
        <v/>
      </c>
      <c r="Z126" s="27" t="str">
        <f t="shared" si="12"/>
        <v/>
      </c>
      <c r="AA126" s="27" t="str">
        <f t="shared" si="13"/>
        <v/>
      </c>
      <c r="AB126" s="27" t="str">
        <f t="shared" si="14"/>
        <v/>
      </c>
      <c r="AC126" s="27" t="str">
        <f t="shared" si="15"/>
        <v/>
      </c>
      <c r="AD126" s="27" t="str">
        <f t="shared" si="16"/>
        <v/>
      </c>
      <c r="AE126" s="28"/>
    </row>
    <row r="127" spans="1:31" ht="15" customHeight="1">
      <c r="A127" s="2">
        <v>117</v>
      </c>
      <c r="B127" s="11" t="str">
        <f>IF('INTERACTION-PAGE'!B127="","",'INTERACTION-PAGE'!B127)</f>
        <v/>
      </c>
      <c r="C127" s="11" t="str">
        <f>IF('INTERACTION-PAGE'!C127="","",'INTERACTION-PAGE'!C127)</f>
        <v/>
      </c>
      <c r="D127" s="11" t="str">
        <f>IF('INTERACTION-PAGE'!D127="","",'INTERACTION-PAGE'!D127)</f>
        <v/>
      </c>
      <c r="E127" s="11" t="str">
        <f>IF('INTERACTION-PAGE'!E127="","",'INTERACTION-PAGE'!E127)</f>
        <v/>
      </c>
      <c r="F127" s="11" t="str">
        <f>IF('INTERACTION-PAGE'!F127="","",'INTERACTION-PAGE'!F127)</f>
        <v/>
      </c>
      <c r="G127" s="11" t="str">
        <f>IF('INTERACTION-PAGE'!G127="","",'INTERACTION-PAGE'!G127)</f>
        <v/>
      </c>
      <c r="H127" s="11" t="str">
        <f>IF('INTERACTION-PAGE'!H127="","",'INTERACTION-PAGE'!H127)</f>
        <v/>
      </c>
      <c r="I127" s="11" t="str">
        <f>IF('INTERACTION-PAGE'!I127="","",'INTERACTION-PAGE'!I127)</f>
        <v/>
      </c>
      <c r="J127" s="11" t="str">
        <f>IF('INTERACTION-PAGE'!J127="","",'INTERACTION-PAGE'!J127)</f>
        <v/>
      </c>
      <c r="K127" s="11" t="str">
        <f>IF('INTERACTION-PAGE'!K127="","",'INTERACTION-PAGE'!K127)</f>
        <v/>
      </c>
      <c r="L127" s="11" t="str">
        <f>IF('INTERACTION-PAGE'!L127="","",'INTERACTION-PAGE'!L127)</f>
        <v/>
      </c>
      <c r="M127" s="11" t="str">
        <f>IF('INTERACTION-PAGE'!M127="","",'INTERACTION-PAGE'!M127)</f>
        <v/>
      </c>
      <c r="N127" s="11" t="str">
        <f>IF('INTERACTION-PAGE'!N127="","",'INTERACTION-PAGE'!N127)</f>
        <v/>
      </c>
      <c r="O127" s="11" t="str">
        <f>IF('INTERACTION-PAGE'!O127="","",'INTERACTION-PAGE'!O127)</f>
        <v/>
      </c>
      <c r="P127" s="11" t="str">
        <f>IF('INTERACTION-PAGE'!P127="","",'INTERACTION-PAGE'!P127)</f>
        <v/>
      </c>
      <c r="Q127" s="11" t="str">
        <f>IF('INTERACTION-PAGE'!Q127="","",'INTERACTION-PAGE'!Q127)</f>
        <v/>
      </c>
      <c r="R127" s="11" t="str">
        <f>IF('INTERACTION-PAGE'!R127="","",'INTERACTION-PAGE'!R127)</f>
        <v/>
      </c>
      <c r="S127" s="11" t="str">
        <f>IF('INTERACTION-PAGE'!S127="","",'INTERACTION-PAGE'!S127)</f>
        <v/>
      </c>
      <c r="T127" s="11" t="str">
        <f>IF('INTERACTION-PAGE'!T127="","",'INTERACTION-PAGE'!T127)</f>
        <v/>
      </c>
      <c r="U127" s="11" t="str">
        <f>IF('INTERACTION-PAGE'!U127="","",'INTERACTION-PAGE'!U127)</f>
        <v/>
      </c>
      <c r="V127" s="11" t="str">
        <f>IF('INTERACTION-PAGE'!V127="","",'INTERACTION-PAGE'!V127)</f>
        <v/>
      </c>
      <c r="W127" s="11" t="str">
        <f>IF('INTERACTION-PAGE'!W127="","",'INTERACTION-PAGE'!W127)</f>
        <v/>
      </c>
      <c r="X127" s="11" t="str">
        <f>IF('INTERACTION-PAGE'!X127="","",'INTERACTION-PAGE'!X127)</f>
        <v/>
      </c>
      <c r="Y127" s="27" t="str">
        <f t="shared" si="11"/>
        <v/>
      </c>
      <c r="Z127" s="27" t="str">
        <f t="shared" si="12"/>
        <v/>
      </c>
      <c r="AA127" s="27" t="str">
        <f t="shared" si="13"/>
        <v/>
      </c>
      <c r="AB127" s="27" t="str">
        <f t="shared" si="14"/>
        <v/>
      </c>
      <c r="AC127" s="27" t="str">
        <f t="shared" si="15"/>
        <v/>
      </c>
      <c r="AD127" s="27" t="str">
        <f t="shared" si="16"/>
        <v/>
      </c>
      <c r="AE127" s="28" t="str">
        <f>IF(C127="","",IFERROR(AVERAGE(Z127:AD127),""))</f>
        <v/>
      </c>
    </row>
    <row r="128" spans="1:31" ht="15" customHeight="1">
      <c r="A128" s="3">
        <v>118</v>
      </c>
      <c r="B128" s="11" t="str">
        <f>IF('INTERACTION-PAGE'!B128="","",'INTERACTION-PAGE'!B128)</f>
        <v/>
      </c>
      <c r="C128" s="11" t="str">
        <f>IF('INTERACTION-PAGE'!C128="","",'INTERACTION-PAGE'!C128)</f>
        <v/>
      </c>
      <c r="D128" s="11" t="str">
        <f>IF('INTERACTION-PAGE'!D128="","",'INTERACTION-PAGE'!D128)</f>
        <v/>
      </c>
      <c r="E128" s="11" t="str">
        <f>IF('INTERACTION-PAGE'!E128="","",'INTERACTION-PAGE'!E128)</f>
        <v/>
      </c>
      <c r="F128" s="11" t="str">
        <f>IF('INTERACTION-PAGE'!F128="","",'INTERACTION-PAGE'!F128)</f>
        <v/>
      </c>
      <c r="G128" s="11" t="str">
        <f>IF('INTERACTION-PAGE'!G128="","",'INTERACTION-PAGE'!G128)</f>
        <v/>
      </c>
      <c r="H128" s="11" t="str">
        <f>IF('INTERACTION-PAGE'!H128="","",'INTERACTION-PAGE'!H128)</f>
        <v/>
      </c>
      <c r="I128" s="11" t="str">
        <f>IF('INTERACTION-PAGE'!I128="","",'INTERACTION-PAGE'!I128)</f>
        <v/>
      </c>
      <c r="J128" s="11" t="str">
        <f>IF('INTERACTION-PAGE'!J128="","",'INTERACTION-PAGE'!J128)</f>
        <v/>
      </c>
      <c r="K128" s="11" t="str">
        <f>IF('INTERACTION-PAGE'!K128="","",'INTERACTION-PAGE'!K128)</f>
        <v/>
      </c>
      <c r="L128" s="11" t="str">
        <f>IF('INTERACTION-PAGE'!L128="","",'INTERACTION-PAGE'!L128)</f>
        <v/>
      </c>
      <c r="M128" s="11" t="str">
        <f>IF('INTERACTION-PAGE'!M128="","",'INTERACTION-PAGE'!M128)</f>
        <v/>
      </c>
      <c r="N128" s="11" t="str">
        <f>IF('INTERACTION-PAGE'!N128="","",'INTERACTION-PAGE'!N128)</f>
        <v/>
      </c>
      <c r="O128" s="11" t="str">
        <f>IF('INTERACTION-PAGE'!O128="","",'INTERACTION-PAGE'!O128)</f>
        <v/>
      </c>
      <c r="P128" s="11" t="str">
        <f>IF('INTERACTION-PAGE'!P128="","",'INTERACTION-PAGE'!P128)</f>
        <v/>
      </c>
      <c r="Q128" s="11" t="str">
        <f>IF('INTERACTION-PAGE'!Q128="","",'INTERACTION-PAGE'!Q128)</f>
        <v/>
      </c>
      <c r="R128" s="11" t="str">
        <f>IF('INTERACTION-PAGE'!R128="","",'INTERACTION-PAGE'!R128)</f>
        <v/>
      </c>
      <c r="S128" s="11" t="str">
        <f>IF('INTERACTION-PAGE'!S128="","",'INTERACTION-PAGE'!S128)</f>
        <v/>
      </c>
      <c r="T128" s="11" t="str">
        <f>IF('INTERACTION-PAGE'!T128="","",'INTERACTION-PAGE'!T128)</f>
        <v/>
      </c>
      <c r="U128" s="11" t="str">
        <f>IF('INTERACTION-PAGE'!U128="","",'INTERACTION-PAGE'!U128)</f>
        <v/>
      </c>
      <c r="V128" s="11" t="str">
        <f>IF('INTERACTION-PAGE'!V128="","",'INTERACTION-PAGE'!V128)</f>
        <v/>
      </c>
      <c r="W128" s="11" t="str">
        <f>IF('INTERACTION-PAGE'!W128="","",'INTERACTION-PAGE'!W128)</f>
        <v/>
      </c>
      <c r="X128" s="11" t="str">
        <f>IF('INTERACTION-PAGE'!X128="","",'INTERACTION-PAGE'!X128)</f>
        <v/>
      </c>
      <c r="Y128" s="27" t="str">
        <f t="shared" si="11"/>
        <v/>
      </c>
      <c r="Z128" s="27" t="str">
        <f t="shared" si="12"/>
        <v/>
      </c>
      <c r="AA128" s="27" t="str">
        <f t="shared" si="13"/>
        <v/>
      </c>
      <c r="AB128" s="27" t="str">
        <f t="shared" si="14"/>
        <v/>
      </c>
      <c r="AC128" s="27" t="str">
        <f t="shared" si="15"/>
        <v/>
      </c>
      <c r="AD128" s="27" t="str">
        <f t="shared" si="16"/>
        <v/>
      </c>
      <c r="AE128" s="28" t="str">
        <f>IF(C128="","",IFERROR(AVERAGE(Z128:AD128),""))</f>
        <v/>
      </c>
    </row>
    <row r="129" spans="1:31" ht="15" customHeight="1">
      <c r="A129" s="2">
        <v>119</v>
      </c>
      <c r="B129" s="11" t="str">
        <f>IF('INTERACTION-PAGE'!B129="","",'INTERACTION-PAGE'!B129)</f>
        <v/>
      </c>
      <c r="C129" s="11" t="str">
        <f>IF('INTERACTION-PAGE'!C129="","",'INTERACTION-PAGE'!C129)</f>
        <v/>
      </c>
      <c r="D129" s="11" t="str">
        <f>IF('INTERACTION-PAGE'!D129="","",'INTERACTION-PAGE'!D129)</f>
        <v/>
      </c>
      <c r="E129" s="11" t="str">
        <f>IF('INTERACTION-PAGE'!E129="","",'INTERACTION-PAGE'!E129)</f>
        <v/>
      </c>
      <c r="F129" s="11" t="str">
        <f>IF('INTERACTION-PAGE'!F129="","",'INTERACTION-PAGE'!F129)</f>
        <v/>
      </c>
      <c r="G129" s="11" t="str">
        <f>IF('INTERACTION-PAGE'!G129="","",'INTERACTION-PAGE'!G129)</f>
        <v/>
      </c>
      <c r="H129" s="11" t="str">
        <f>IF('INTERACTION-PAGE'!H129="","",'INTERACTION-PAGE'!H129)</f>
        <v/>
      </c>
      <c r="I129" s="11" t="str">
        <f>IF('INTERACTION-PAGE'!I129="","",'INTERACTION-PAGE'!I129)</f>
        <v/>
      </c>
      <c r="J129" s="11" t="str">
        <f>IF('INTERACTION-PAGE'!J129="","",'INTERACTION-PAGE'!J129)</f>
        <v/>
      </c>
      <c r="K129" s="11" t="str">
        <f>IF('INTERACTION-PAGE'!K129="","",'INTERACTION-PAGE'!K129)</f>
        <v/>
      </c>
      <c r="L129" s="11" t="str">
        <f>IF('INTERACTION-PAGE'!L129="","",'INTERACTION-PAGE'!L129)</f>
        <v/>
      </c>
      <c r="M129" s="11" t="str">
        <f>IF('INTERACTION-PAGE'!M129="","",'INTERACTION-PAGE'!M129)</f>
        <v/>
      </c>
      <c r="N129" s="11" t="str">
        <f>IF('INTERACTION-PAGE'!N129="","",'INTERACTION-PAGE'!N129)</f>
        <v/>
      </c>
      <c r="O129" s="11" t="str">
        <f>IF('INTERACTION-PAGE'!O129="","",'INTERACTION-PAGE'!O129)</f>
        <v/>
      </c>
      <c r="P129" s="11" t="str">
        <f>IF('INTERACTION-PAGE'!P129="","",'INTERACTION-PAGE'!P129)</f>
        <v/>
      </c>
      <c r="Q129" s="11" t="str">
        <f>IF('INTERACTION-PAGE'!Q129="","",'INTERACTION-PAGE'!Q129)</f>
        <v/>
      </c>
      <c r="R129" s="11" t="str">
        <f>IF('INTERACTION-PAGE'!R129="","",'INTERACTION-PAGE'!R129)</f>
        <v/>
      </c>
      <c r="S129" s="11" t="str">
        <f>IF('INTERACTION-PAGE'!S129="","",'INTERACTION-PAGE'!S129)</f>
        <v/>
      </c>
      <c r="T129" s="11" t="str">
        <f>IF('INTERACTION-PAGE'!T129="","",'INTERACTION-PAGE'!T129)</f>
        <v/>
      </c>
      <c r="U129" s="11" t="str">
        <f>IF('INTERACTION-PAGE'!U129="","",'INTERACTION-PAGE'!U129)</f>
        <v/>
      </c>
      <c r="V129" s="11" t="str">
        <f>IF('INTERACTION-PAGE'!V129="","",'INTERACTION-PAGE'!V129)</f>
        <v/>
      </c>
      <c r="W129" s="11" t="str">
        <f>IF('INTERACTION-PAGE'!W129="","",'INTERACTION-PAGE'!W129)</f>
        <v/>
      </c>
      <c r="X129" s="11" t="str">
        <f>IF('INTERACTION-PAGE'!X129="","",'INTERACTION-PAGE'!X129)</f>
        <v/>
      </c>
      <c r="Y129" s="27" t="str">
        <f t="shared" si="11"/>
        <v/>
      </c>
      <c r="Z129" s="27" t="str">
        <f t="shared" si="12"/>
        <v/>
      </c>
      <c r="AA129" s="27" t="str">
        <f t="shared" si="13"/>
        <v/>
      </c>
      <c r="AB129" s="27" t="str">
        <f t="shared" si="14"/>
        <v/>
      </c>
      <c r="AC129" s="27" t="str">
        <f t="shared" si="15"/>
        <v/>
      </c>
      <c r="AD129" s="27" t="str">
        <f t="shared" si="16"/>
        <v/>
      </c>
      <c r="AE129" s="28" t="str">
        <f>IF(C129="","",IFERROR(AVERAGE(Z129:AD129),""))</f>
        <v/>
      </c>
    </row>
    <row r="130" spans="1:31" ht="15" customHeight="1" thickBot="1">
      <c r="A130" s="4">
        <v>120</v>
      </c>
      <c r="B130" s="11" t="str">
        <f>IF('INTERACTION-PAGE'!B130="","",'INTERACTION-PAGE'!B130)</f>
        <v/>
      </c>
      <c r="C130" s="11" t="str">
        <f>IF('INTERACTION-PAGE'!C130="","",'INTERACTION-PAGE'!C130)</f>
        <v/>
      </c>
      <c r="D130" s="11" t="str">
        <f>IF('INTERACTION-PAGE'!D130="","",'INTERACTION-PAGE'!D130)</f>
        <v/>
      </c>
      <c r="E130" s="11" t="str">
        <f>IF('INTERACTION-PAGE'!E130="","",'INTERACTION-PAGE'!E130)</f>
        <v/>
      </c>
      <c r="F130" s="11" t="str">
        <f>IF('INTERACTION-PAGE'!F130="","",'INTERACTION-PAGE'!F130)</f>
        <v/>
      </c>
      <c r="G130" s="11" t="str">
        <f>IF('INTERACTION-PAGE'!G130="","",'INTERACTION-PAGE'!G130)</f>
        <v/>
      </c>
      <c r="H130" s="11" t="str">
        <f>IF('INTERACTION-PAGE'!H130="","",'INTERACTION-PAGE'!H130)</f>
        <v/>
      </c>
      <c r="I130" s="11" t="str">
        <f>IF('INTERACTION-PAGE'!I130="","",'INTERACTION-PAGE'!I130)</f>
        <v/>
      </c>
      <c r="J130" s="11" t="str">
        <f>IF('INTERACTION-PAGE'!J130="","",'INTERACTION-PAGE'!J130)</f>
        <v/>
      </c>
      <c r="K130" s="11" t="str">
        <f>IF('INTERACTION-PAGE'!K130="","",'INTERACTION-PAGE'!K130)</f>
        <v/>
      </c>
      <c r="L130" s="11" t="str">
        <f>IF('INTERACTION-PAGE'!L130="","",'INTERACTION-PAGE'!L130)</f>
        <v/>
      </c>
      <c r="M130" s="11" t="str">
        <f>IF('INTERACTION-PAGE'!M130="","",'INTERACTION-PAGE'!M130)</f>
        <v/>
      </c>
      <c r="N130" s="11" t="str">
        <f>IF('INTERACTION-PAGE'!N130="","",'INTERACTION-PAGE'!N130)</f>
        <v/>
      </c>
      <c r="O130" s="11" t="str">
        <f>IF('INTERACTION-PAGE'!O130="","",'INTERACTION-PAGE'!O130)</f>
        <v/>
      </c>
      <c r="P130" s="11" t="str">
        <f>IF('INTERACTION-PAGE'!P130="","",'INTERACTION-PAGE'!P130)</f>
        <v/>
      </c>
      <c r="Q130" s="11" t="str">
        <f>IF('INTERACTION-PAGE'!Q130="","",'INTERACTION-PAGE'!Q130)</f>
        <v/>
      </c>
      <c r="R130" s="11" t="str">
        <f>IF('INTERACTION-PAGE'!R130="","",'INTERACTION-PAGE'!R130)</f>
        <v/>
      </c>
      <c r="S130" s="11" t="str">
        <f>IF('INTERACTION-PAGE'!S130="","",'INTERACTION-PAGE'!S130)</f>
        <v/>
      </c>
      <c r="T130" s="11" t="str">
        <f>IF('INTERACTION-PAGE'!T130="","",'INTERACTION-PAGE'!T130)</f>
        <v/>
      </c>
      <c r="U130" s="11" t="str">
        <f>IF('INTERACTION-PAGE'!U130="","",'INTERACTION-PAGE'!U130)</f>
        <v/>
      </c>
      <c r="V130" s="11" t="str">
        <f>IF('INTERACTION-PAGE'!V130="","",'INTERACTION-PAGE'!V130)</f>
        <v/>
      </c>
      <c r="W130" s="11" t="str">
        <f>IF('INTERACTION-PAGE'!W130="","",'INTERACTION-PAGE'!W130)</f>
        <v/>
      </c>
      <c r="X130" s="11" t="str">
        <f>IF('INTERACTION-PAGE'!X130="","",'INTERACTION-PAGE'!X130)</f>
        <v/>
      </c>
      <c r="Y130" s="27" t="str">
        <f t="shared" si="11"/>
        <v/>
      </c>
      <c r="Z130" s="27" t="str">
        <f t="shared" si="12"/>
        <v/>
      </c>
      <c r="AA130" s="27" t="str">
        <f t="shared" si="13"/>
        <v/>
      </c>
      <c r="AB130" s="27" t="str">
        <f t="shared" si="14"/>
        <v/>
      </c>
      <c r="AC130" s="27" t="str">
        <f t="shared" si="15"/>
        <v/>
      </c>
      <c r="AD130" s="27" t="str">
        <f t="shared" si="16"/>
        <v/>
      </c>
      <c r="AE130" s="28" t="str">
        <f>IF(C130="","",IFERROR(AVERAGE(Z130:AD130),""))</f>
        <v/>
      </c>
    </row>
    <row r="131" spans="1:31" ht="16.5" customHeight="1" thickTop="1" thickBot="1">
      <c r="A131" s="264" t="s">
        <v>54</v>
      </c>
      <c r="B131" s="54"/>
      <c r="C131" s="54"/>
      <c r="D131" s="54"/>
      <c r="E131" s="54"/>
      <c r="F131" s="54"/>
      <c r="G131" s="54"/>
      <c r="H131" s="54"/>
      <c r="I131" s="55"/>
      <c r="J131" s="254" t="s">
        <v>13</v>
      </c>
      <c r="K131" s="259" t="s">
        <v>34</v>
      </c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1"/>
      <c r="Y131" s="45">
        <f>IF(Y$10="","",COUNTIF($D$11:$D$130,"AB")+COUNTIF($D$11:$D$130,"UR"))</f>
        <v>0</v>
      </c>
      <c r="Z131" s="22">
        <f>IF(Z$10="","",COUNTIF(Z$11:Z$130,"AB")+COUNTIF(Z$11:Z$130,"")-COUNTIF($C$11:$C$130,""))</f>
        <v>0</v>
      </c>
      <c r="AA131" s="22">
        <f t="shared" ref="AA131:AD131" si="18">IF(AA$10="","",COUNTIF(AA$11:AA$130,"AB")+COUNTIF(AA$11:AA$130,"")-COUNTIF($C$11:$C$130,""))</f>
        <v>0</v>
      </c>
      <c r="AB131" s="22">
        <f t="shared" si="18"/>
        <v>0</v>
      </c>
      <c r="AC131" s="22">
        <f t="shared" si="18"/>
        <v>0</v>
      </c>
      <c r="AD131" s="22" t="str">
        <f t="shared" si="18"/>
        <v/>
      </c>
      <c r="AE131" s="166"/>
    </row>
    <row r="132" spans="1:31" ht="23.25" thickTop="1" thickBot="1">
      <c r="A132" s="265"/>
      <c r="B132" s="267" t="s">
        <v>55</v>
      </c>
      <c r="C132" s="268"/>
      <c r="D132" s="268"/>
      <c r="E132" s="268"/>
      <c r="F132" s="268"/>
      <c r="G132" s="268"/>
      <c r="H132" s="268"/>
      <c r="I132" s="269"/>
      <c r="J132" s="254"/>
      <c r="K132" s="259" t="s">
        <v>35</v>
      </c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260"/>
      <c r="W132" s="260"/>
      <c r="X132" s="261"/>
      <c r="Y132" s="45">
        <f>COUNT($A$11:$A$130)-COUNTIF($D$11:$D$130, "AB")-COUNTIF($D$11:$D$130, "UR")-COUNTIF($C$11:$C$130, "")</f>
        <v>72</v>
      </c>
      <c r="Z132" s="22">
        <f>IF(Z$10="","",IF((COUNT($A$11:$A$130)-COUNTIF($C$11:$C$130,"")-Z$131)&lt;0,0,COUNT($A$11:$A$130)-COUNTIF($C$11:$C$130,"")-Z$131))</f>
        <v>72</v>
      </c>
      <c r="AA132" s="22">
        <f t="shared" ref="AA132:AD132" si="19">IF(AA$10="","",IF((COUNT($A$11:$A$130)-COUNTIF($C$11:$C$130,"")-AA$131)&lt;0,0,COUNT($A$11:$A$130)-COUNTIF($C$11:$C$130,"")-AA$131))</f>
        <v>72</v>
      </c>
      <c r="AB132" s="22">
        <f t="shared" si="19"/>
        <v>72</v>
      </c>
      <c r="AC132" s="22">
        <f t="shared" si="19"/>
        <v>72</v>
      </c>
      <c r="AD132" s="22" t="str">
        <f t="shared" si="19"/>
        <v/>
      </c>
      <c r="AE132" s="167"/>
    </row>
    <row r="133" spans="1:31" ht="23.25" thickTop="1" thickBot="1">
      <c r="A133" s="265"/>
      <c r="B133" s="270"/>
      <c r="C133" s="271"/>
      <c r="D133" s="271"/>
      <c r="E133" s="271"/>
      <c r="F133" s="271"/>
      <c r="G133" s="271"/>
      <c r="H133" s="271"/>
      <c r="I133" s="272"/>
      <c r="J133" s="254"/>
      <c r="K133" s="259" t="s">
        <v>58</v>
      </c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1"/>
      <c r="Y133" s="56">
        <f>IF(Y$10="","",COUNTIF(Y$11:Y$130,"&gt;="&amp;$N$1))</f>
        <v>70</v>
      </c>
      <c r="Z133" s="22">
        <f>IF(Z$10="","",COUNTIF(Z$11:Z$130,"&gt;="&amp;$N$2))</f>
        <v>72</v>
      </c>
      <c r="AA133" s="22">
        <f t="shared" ref="AA133:AD133" si="20">IF(AA$10="","",COUNTIF(AA$11:AA$130,"&gt;="&amp;$N$2))</f>
        <v>32</v>
      </c>
      <c r="AB133" s="22">
        <f t="shared" si="20"/>
        <v>23</v>
      </c>
      <c r="AC133" s="22">
        <f t="shared" si="20"/>
        <v>9</v>
      </c>
      <c r="AD133" s="22" t="str">
        <f t="shared" si="20"/>
        <v/>
      </c>
      <c r="AE133" s="167"/>
    </row>
    <row r="134" spans="1:31" ht="23.25" thickTop="1" thickBot="1">
      <c r="A134" s="265"/>
      <c r="B134" s="270"/>
      <c r="C134" s="271"/>
      <c r="D134" s="271"/>
      <c r="E134" s="271"/>
      <c r="F134" s="271"/>
      <c r="G134" s="271"/>
      <c r="H134" s="271"/>
      <c r="I134" s="272"/>
      <c r="J134" s="254"/>
      <c r="K134" s="259" t="s">
        <v>59</v>
      </c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X134" s="261"/>
      <c r="Y134" s="57">
        <f>IFERROR((Y133/Y132)*100,"")</f>
        <v>97.222222222222214</v>
      </c>
      <c r="Z134" s="23">
        <f>IFERROR((Z$133/Z$132)*100,"")</f>
        <v>100</v>
      </c>
      <c r="AA134" s="23">
        <f t="shared" ref="AA134:AD134" si="21">IFERROR((AA$133/AA$132)*100,"")</f>
        <v>44.444444444444443</v>
      </c>
      <c r="AB134" s="23">
        <f t="shared" si="21"/>
        <v>31.944444444444443</v>
      </c>
      <c r="AC134" s="23">
        <f t="shared" si="21"/>
        <v>12.5</v>
      </c>
      <c r="AD134" s="23" t="str">
        <f t="shared" si="21"/>
        <v/>
      </c>
      <c r="AE134" s="167"/>
    </row>
    <row r="135" spans="1:31" ht="32.1" customHeight="1" thickTop="1" thickBot="1">
      <c r="A135" s="266"/>
      <c r="B135" s="273"/>
      <c r="C135" s="274"/>
      <c r="D135" s="274"/>
      <c r="E135" s="274"/>
      <c r="F135" s="274"/>
      <c r="G135" s="274"/>
      <c r="H135" s="274"/>
      <c r="I135" s="275"/>
      <c r="J135" s="254"/>
      <c r="K135" s="259" t="s">
        <v>52</v>
      </c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260"/>
      <c r="W135" s="260"/>
      <c r="X135" s="261"/>
      <c r="Y135" s="57"/>
      <c r="Z135" s="23">
        <f>IF(Z134="","",IF(Z134&gt;=$C$1,$E$1,IF(Z134&gt;=$C$2,$E$2+(Z134-$C$2)/$F$2,IF(Z134&gt;=$C$3,$E$3+(Z134-$C$3)/$F$3,0))))</f>
        <v>3</v>
      </c>
      <c r="AA135" s="23">
        <f>IF(AA134="","",IF(AA134&gt;=$C$1,$E$1,IF(AA134&gt;=$C$2,$E$2+(AA134-$C$2)/$F$2,IF(AA134&gt;=$C$3,$E$3+(AA134-$C$3)/$F$3,0))))</f>
        <v>0</v>
      </c>
      <c r="AB135" s="23">
        <f>IF(AB134="","",IF(AB134&gt;=$C$1,$E$1,IF(AB134&gt;=$C$2,$E$2+(AB134-$C$2)/$F$2,IF(AB134&gt;=$C$3,$E$3+(AB134-$C$3)/$F$3,0))))</f>
        <v>0</v>
      </c>
      <c r="AC135" s="23">
        <f>IF(AC134="","",IF(AC134&gt;=$C$1,$E$1,IF(AC134&gt;=$C$2,$E$2+(AC134-$C$2)/$F$2,IF(AC134&gt;=$C$3,$E$3+(AC134-$C$3)/$F$3,0))))</f>
        <v>0</v>
      </c>
      <c r="AD135" s="23" t="str">
        <f>IF(AD134="","",IF(AD134&gt;=$C$1,$E$1,IF(AD134&gt;=$C$2,$E$2+(AD134-$C$2)/$F$2,IF(AD134&gt;=$C$3,$E$3+(AD134-$C$3)/$F$3,0))))</f>
        <v/>
      </c>
      <c r="AE135" s="167"/>
    </row>
    <row r="136" spans="1:31" ht="23.25" thickTop="1" thickBot="1">
      <c r="A136" s="24"/>
      <c r="B136" s="258"/>
      <c r="C136" s="258"/>
      <c r="D136" s="258"/>
      <c r="E136" s="258"/>
      <c r="F136" s="258"/>
      <c r="G136" s="258"/>
      <c r="H136" s="258"/>
      <c r="I136" s="25"/>
      <c r="J136" s="255" t="s">
        <v>45</v>
      </c>
      <c r="K136" s="256"/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7"/>
      <c r="Z136" s="26">
        <f>IFERROR(Z135,"")</f>
        <v>3</v>
      </c>
      <c r="AA136" s="26">
        <f>IFERROR(AA135,"")</f>
        <v>0</v>
      </c>
      <c r="AB136" s="26">
        <f t="shared" ref="AB136:AD136" si="22">IFERROR(AB135,"")</f>
        <v>0</v>
      </c>
      <c r="AC136" s="26">
        <f t="shared" si="22"/>
        <v>0</v>
      </c>
      <c r="AD136" s="26" t="str">
        <f t="shared" si="22"/>
        <v/>
      </c>
      <c r="AE136" s="167"/>
    </row>
    <row r="137" spans="1:31" ht="16.5" customHeight="1" thickTop="1" thickBot="1">
      <c r="A137" s="264" t="s">
        <v>54</v>
      </c>
      <c r="B137" s="54"/>
      <c r="C137" s="54"/>
      <c r="D137" s="54"/>
      <c r="E137" s="54"/>
      <c r="F137" s="54"/>
      <c r="G137" s="54"/>
      <c r="H137" s="54"/>
      <c r="I137" s="55"/>
      <c r="J137" s="254" t="s">
        <v>13</v>
      </c>
      <c r="K137" s="259" t="s">
        <v>34</v>
      </c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260"/>
      <c r="W137" s="260"/>
      <c r="X137" s="261"/>
      <c r="Y137" s="45">
        <f>IF(Y$10="","",COUNTIF($D$11:$D$130,"AB")+COUNTIF($D$11:$D$130,"UR"))</f>
        <v>0</v>
      </c>
      <c r="Z137" s="22">
        <f>IF(Z$10="","",COUNTIF(Z$11:Z$130,"AB")+COUNTIF(Z$11:Z$130,"")-COUNTIF($C$11:$C$130,""))</f>
        <v>0</v>
      </c>
      <c r="AA137" s="22">
        <f t="shared" ref="AA137:AD137" si="23">IF(AA$10="","",COUNTIF(AA$11:AA$130,"AB")+COUNTIF(AA$11:AA$130,"")-COUNTIF($C$11:$C$130,""))</f>
        <v>0</v>
      </c>
      <c r="AB137" s="22">
        <f t="shared" si="23"/>
        <v>0</v>
      </c>
      <c r="AC137" s="22">
        <f t="shared" si="23"/>
        <v>0</v>
      </c>
      <c r="AD137" s="22" t="str">
        <f t="shared" si="23"/>
        <v/>
      </c>
      <c r="AE137" s="166"/>
    </row>
    <row r="138" spans="1:31" ht="23.25" thickTop="1" thickBot="1">
      <c r="A138" s="265"/>
      <c r="B138" s="267" t="s">
        <v>56</v>
      </c>
      <c r="C138" s="268"/>
      <c r="D138" s="268"/>
      <c r="E138" s="268"/>
      <c r="F138" s="268"/>
      <c r="G138" s="268"/>
      <c r="H138" s="268"/>
      <c r="I138" s="269"/>
      <c r="J138" s="254"/>
      <c r="K138" s="259" t="s">
        <v>35</v>
      </c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260"/>
      <c r="W138" s="260"/>
      <c r="X138" s="261"/>
      <c r="Y138" s="45">
        <f>COUNT($A$11:$A$130)-COUNTIF($D$11:$D$130, "AB")-COUNTIF($D$11:$D$130, "UR")-COUNTIF($C$11:$C$130, "")</f>
        <v>72</v>
      </c>
      <c r="Z138" s="22">
        <f>IF(Z$10="","",IF((COUNT($A$11:$A$130)-COUNTIF($C$11:$C$130,"")-Z$131)&lt;0,0,COUNT($A$11:$A$130)-COUNTIF($C$11:$C$130,"")-Z$131))</f>
        <v>72</v>
      </c>
      <c r="AA138" s="22">
        <f t="shared" ref="AA138:AD138" si="24">IF(AA$10="","",IF((COUNT($A$11:$A$130)-COUNTIF($C$11:$C$130,"")-AA$131)&lt;0,0,COUNT($A$11:$A$130)-COUNTIF($C$11:$C$130,"")-AA$131))</f>
        <v>72</v>
      </c>
      <c r="AB138" s="22">
        <f t="shared" si="24"/>
        <v>72</v>
      </c>
      <c r="AC138" s="22">
        <f t="shared" si="24"/>
        <v>72</v>
      </c>
      <c r="AD138" s="22" t="str">
        <f t="shared" si="24"/>
        <v/>
      </c>
      <c r="AE138" s="167"/>
    </row>
    <row r="139" spans="1:31" ht="23.25" thickTop="1" thickBot="1">
      <c r="A139" s="265"/>
      <c r="B139" s="270"/>
      <c r="C139" s="271"/>
      <c r="D139" s="271"/>
      <c r="E139" s="271"/>
      <c r="F139" s="271"/>
      <c r="G139" s="271"/>
      <c r="H139" s="271"/>
      <c r="I139" s="272"/>
      <c r="J139" s="254"/>
      <c r="K139" s="259" t="s">
        <v>60</v>
      </c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260"/>
      <c r="W139" s="260"/>
      <c r="X139" s="261"/>
      <c r="Y139" s="45">
        <f>IF(Y$10="","",COUNTIF(Y$11:Y$130,"&gt;="&amp;$N$1))</f>
        <v>70</v>
      </c>
      <c r="Z139" s="58">
        <f>IF(Z$10="","",COUNTIF(Z$11:Z$130,"&gt;="&amp;$N$1))</f>
        <v>72</v>
      </c>
      <c r="AA139" s="58">
        <f t="shared" ref="AA139:AD139" si="25">IF(AA$10="","",COUNTIF(AA$11:AA$130,"&gt;="&amp;$N$1))</f>
        <v>57</v>
      </c>
      <c r="AB139" s="58">
        <f t="shared" si="25"/>
        <v>71</v>
      </c>
      <c r="AC139" s="58">
        <f t="shared" si="25"/>
        <v>25</v>
      </c>
      <c r="AD139" s="58" t="str">
        <f t="shared" si="25"/>
        <v/>
      </c>
      <c r="AE139" s="167"/>
    </row>
    <row r="140" spans="1:31" ht="23.25" thickTop="1" thickBot="1">
      <c r="A140" s="265"/>
      <c r="B140" s="270"/>
      <c r="C140" s="271"/>
      <c r="D140" s="271"/>
      <c r="E140" s="271"/>
      <c r="F140" s="271"/>
      <c r="G140" s="271"/>
      <c r="H140" s="271"/>
      <c r="I140" s="272"/>
      <c r="J140" s="254"/>
      <c r="K140" s="259" t="s">
        <v>62</v>
      </c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260"/>
      <c r="W140" s="260"/>
      <c r="X140" s="261"/>
      <c r="Y140" s="23">
        <f t="shared" ref="Y140:AD140" si="26">IFERROR((Y139/Y138)*100,"")</f>
        <v>97.222222222222214</v>
      </c>
      <c r="Z140" s="23">
        <f t="shared" si="26"/>
        <v>100</v>
      </c>
      <c r="AA140" s="23">
        <f t="shared" si="26"/>
        <v>79.166666666666657</v>
      </c>
      <c r="AB140" s="23">
        <f t="shared" si="26"/>
        <v>98.611111111111114</v>
      </c>
      <c r="AC140" s="23">
        <f t="shared" si="26"/>
        <v>34.722222222222221</v>
      </c>
      <c r="AD140" s="23" t="str">
        <f t="shared" si="26"/>
        <v/>
      </c>
      <c r="AE140" s="167"/>
    </row>
    <row r="141" spans="1:31" ht="32.1" customHeight="1" thickTop="1" thickBot="1">
      <c r="A141" s="266"/>
      <c r="B141" s="273"/>
      <c r="C141" s="274"/>
      <c r="D141" s="274"/>
      <c r="E141" s="274"/>
      <c r="F141" s="274"/>
      <c r="G141" s="274"/>
      <c r="H141" s="274"/>
      <c r="I141" s="275"/>
      <c r="J141" s="254"/>
      <c r="K141" s="259" t="s">
        <v>61</v>
      </c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260"/>
      <c r="W141" s="260"/>
      <c r="X141" s="261"/>
      <c r="Y141" s="46"/>
      <c r="Z141" s="23">
        <f>IF(Z140="","",IFERROR(AVERAGE(Z$11:Z$130),""))</f>
        <v>71.620370370370352</v>
      </c>
      <c r="AA141" s="23">
        <f t="shared" ref="AA141:AD141" si="27">IF(AA140="","",IFERROR(AVERAGE(AA$11:AA$130),""))</f>
        <v>47.731481481481488</v>
      </c>
      <c r="AB141" s="23">
        <f t="shared" si="27"/>
        <v>45.952380952380935</v>
      </c>
      <c r="AC141" s="23">
        <f t="shared" si="27"/>
        <v>27.978395061728392</v>
      </c>
      <c r="AD141" s="23" t="str">
        <f t="shared" si="27"/>
        <v/>
      </c>
      <c r="AE141" s="167"/>
    </row>
    <row r="142" spans="1:31" ht="23.25" thickTop="1" thickBot="1">
      <c r="A142" s="24"/>
      <c r="B142" s="258"/>
      <c r="C142" s="258"/>
      <c r="D142" s="258"/>
      <c r="E142" s="258"/>
      <c r="F142" s="258"/>
      <c r="G142" s="258"/>
      <c r="H142" s="258"/>
      <c r="I142" s="25"/>
      <c r="J142" s="255" t="s">
        <v>63</v>
      </c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7"/>
      <c r="Z142" s="26">
        <f>IFERROR(Z141,"")</f>
        <v>71.620370370370352</v>
      </c>
      <c r="AA142" s="26">
        <f>IFERROR(AA141,"")</f>
        <v>47.731481481481488</v>
      </c>
      <c r="AB142" s="26">
        <f t="shared" ref="AB142:AD142" si="28">IFERROR(AB141,"")</f>
        <v>45.952380952380935</v>
      </c>
      <c r="AC142" s="26">
        <f t="shared" si="28"/>
        <v>27.978395061728392</v>
      </c>
      <c r="AD142" s="26" t="str">
        <f t="shared" si="28"/>
        <v/>
      </c>
      <c r="AE142" s="167"/>
    </row>
  </sheetData>
  <sheetProtection selectLockedCells="1" selectUnlockedCells="1"/>
  <protectedRanges>
    <protectedRange sqref="I5 C5:D6 G6 K6 Z5:Z6 AD6 B11:X130 N1:X2 C1:E3 E10:Y10" name="Range1"/>
  </protectedRanges>
  <mergeCells count="56">
    <mergeCell ref="AE137:AE142"/>
    <mergeCell ref="B138:I141"/>
    <mergeCell ref="K138:X138"/>
    <mergeCell ref="K139:X139"/>
    <mergeCell ref="K140:X140"/>
    <mergeCell ref="K141:X141"/>
    <mergeCell ref="B142:H142"/>
    <mergeCell ref="J142:Y142"/>
    <mergeCell ref="A131:A135"/>
    <mergeCell ref="B132:I135"/>
    <mergeCell ref="A137:A141"/>
    <mergeCell ref="J137:J141"/>
    <mergeCell ref="K137:X137"/>
    <mergeCell ref="G3:AE3"/>
    <mergeCell ref="Z5:AE5"/>
    <mergeCell ref="Z6:AA6"/>
    <mergeCell ref="AE131:AE136"/>
    <mergeCell ref="J131:J135"/>
    <mergeCell ref="J136:Y136"/>
    <mergeCell ref="B136:H136"/>
    <mergeCell ref="K132:X132"/>
    <mergeCell ref="K133:X133"/>
    <mergeCell ref="K134:X134"/>
    <mergeCell ref="K135:X135"/>
    <mergeCell ref="Z7:AE7"/>
    <mergeCell ref="D8:D9"/>
    <mergeCell ref="G6:H6"/>
    <mergeCell ref="M6:Y6"/>
    <mergeCell ref="K131:X131"/>
    <mergeCell ref="A8:A10"/>
    <mergeCell ref="B8:B10"/>
    <mergeCell ref="C8:C9"/>
    <mergeCell ref="G1:M1"/>
    <mergeCell ref="A6:B6"/>
    <mergeCell ref="A4:AE4"/>
    <mergeCell ref="A5:B5"/>
    <mergeCell ref="C5:F5"/>
    <mergeCell ref="G5:H5"/>
    <mergeCell ref="I5:M5"/>
    <mergeCell ref="N5:Y5"/>
    <mergeCell ref="AB6:AC6"/>
    <mergeCell ref="Y1:AE2"/>
    <mergeCell ref="AD6:AE6"/>
    <mergeCell ref="A1:B3"/>
    <mergeCell ref="G2:M2"/>
    <mergeCell ref="O8:R8"/>
    <mergeCell ref="T8:W8"/>
    <mergeCell ref="O7:S7"/>
    <mergeCell ref="T7:X7"/>
    <mergeCell ref="E7:I7"/>
    <mergeCell ref="J7:N7"/>
    <mergeCell ref="K6:L6"/>
    <mergeCell ref="I6:J6"/>
    <mergeCell ref="E6:F6"/>
    <mergeCell ref="E8:H8"/>
    <mergeCell ref="J8:M8"/>
  </mergeCells>
  <pageMargins left="0.24" right="0.18" top="0.38" bottom="0.43" header="0.2" footer="0.2"/>
  <pageSetup paperSize="9" scale="73" fitToHeight="0" orientation="portrait" r:id="rId1"/>
  <headerFooter>
    <oddFooter>&amp;CPage &amp;P of &amp;N&amp;RFILE PREPARED BY DILIP SISODIA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R39"/>
  <sheetViews>
    <sheetView topLeftCell="A31" workbookViewId="0">
      <selection activeCell="L44" sqref="L44"/>
    </sheetView>
  </sheetViews>
  <sheetFormatPr defaultRowHeight="15"/>
  <cols>
    <col min="17" max="17" width="16.7109375" style="29" customWidth="1"/>
  </cols>
  <sheetData>
    <row r="1" spans="1:17" ht="21.75" thickBot="1">
      <c r="A1" s="285" t="str">
        <f>IF(CO_ATTAINMENT!A4="","",CO_ATTAINMENT!A4)</f>
        <v>TEZPUR UNIVERSITY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</row>
    <row r="2" spans="1:17" ht="17.25" thickTop="1" thickBot="1">
      <c r="A2" s="286" t="s">
        <v>0</v>
      </c>
      <c r="B2" s="287"/>
      <c r="C2" s="288"/>
      <c r="D2" s="288"/>
      <c r="E2" s="289"/>
      <c r="F2" s="290" t="str">
        <f>IF(CO_ATTAINMENT!C5="","",CO_ATTAINMENT!C5)</f>
        <v>S S Satapathy</v>
      </c>
      <c r="G2" s="290"/>
      <c r="H2" s="290"/>
      <c r="I2" s="290"/>
      <c r="J2" s="290"/>
      <c r="K2" s="290"/>
      <c r="L2" s="290"/>
      <c r="M2" s="290"/>
      <c r="N2" s="290"/>
      <c r="O2" s="290"/>
      <c r="P2" s="290"/>
    </row>
    <row r="3" spans="1:17" ht="16.5" thickTop="1" thickBot="1">
      <c r="A3" s="295" t="s">
        <v>90</v>
      </c>
      <c r="B3" s="296"/>
      <c r="C3" s="284" t="str">
        <f>IF(CO_ATTAINMENT!I5="","",CO_ATTAINMENT!I5)</f>
        <v>FET and Design</v>
      </c>
      <c r="D3" s="284"/>
      <c r="E3" s="284"/>
      <c r="F3" s="284"/>
      <c r="G3" s="284"/>
      <c r="H3" s="284"/>
      <c r="I3" s="284"/>
      <c r="J3" s="284"/>
      <c r="K3" s="284"/>
      <c r="L3" s="284"/>
      <c r="M3" s="297" t="s">
        <v>38</v>
      </c>
      <c r="N3" s="297"/>
      <c r="O3" s="284" t="str">
        <f>IF(CO_ATTAINMENT!AD6="","",CO_ATTAINMENT!AD6)</f>
        <v>Autumn 2024</v>
      </c>
      <c r="P3" s="284"/>
    </row>
    <row r="4" spans="1:17" ht="16.5" thickTop="1" thickBot="1">
      <c r="A4" s="295" t="s">
        <v>75</v>
      </c>
      <c r="B4" s="296"/>
      <c r="C4" s="284" t="str">
        <f>IF(CO_ATTAINMENT!C6="","",CO_ATTAINMENT!C6)</f>
        <v>B. Tech</v>
      </c>
      <c r="D4" s="284"/>
      <c r="E4" s="284"/>
      <c r="F4" s="284"/>
      <c r="G4" s="297" t="s">
        <v>91</v>
      </c>
      <c r="H4" s="297"/>
      <c r="I4" s="284" t="str">
        <f>IF(CO_ATTAINMENT!G6="","",CO_ATTAINMENT!G6)</f>
        <v>I</v>
      </c>
      <c r="J4" s="284"/>
      <c r="K4" s="284"/>
      <c r="L4" s="284"/>
      <c r="M4" s="297" t="s">
        <v>39</v>
      </c>
      <c r="N4" s="297"/>
      <c r="O4" s="284">
        <f>IF(CO_ATTAINMENT!K6="","",CO_ATTAINMENT!K6)</f>
        <v>1</v>
      </c>
      <c r="P4" s="284"/>
    </row>
    <row r="5" spans="1:17" ht="16.5" thickTop="1" thickBot="1">
      <c r="A5" s="295" t="s">
        <v>1</v>
      </c>
      <c r="B5" s="296"/>
      <c r="C5" s="284" t="str">
        <f>IF(CO_ATTAINMENT!Z5="","",CO_ATTAINMENT!Z5)</f>
        <v>Programming for Problem Solving</v>
      </c>
      <c r="D5" s="284"/>
      <c r="E5" s="284"/>
      <c r="F5" s="284"/>
      <c r="G5" s="284"/>
      <c r="H5" s="284"/>
      <c r="I5" s="284"/>
      <c r="J5" s="284"/>
      <c r="K5" s="284"/>
      <c r="L5" s="283" t="s">
        <v>89</v>
      </c>
      <c r="M5" s="283"/>
      <c r="N5" s="283"/>
      <c r="O5" s="284" t="str">
        <f>IF(CO_ATTAINMENT!Z6="","",CO_ATTAINMENT!Z6)</f>
        <v>CSBT100</v>
      </c>
      <c r="P5" s="284"/>
    </row>
    <row r="6" spans="1:17" s="29" customFormat="1" ht="23.25" customHeight="1" thickTop="1" thickBot="1">
      <c r="A6" s="276" t="s">
        <v>15</v>
      </c>
      <c r="B6" s="277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9"/>
    </row>
    <row r="7" spans="1:17" s="29" customFormat="1" ht="15" customHeight="1" thickTop="1" thickBot="1">
      <c r="A7" s="280" t="s">
        <v>16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2"/>
    </row>
    <row r="8" spans="1:17" s="29" customFormat="1" ht="24.75" thickTop="1" thickBot="1">
      <c r="A8" s="34"/>
      <c r="B8" s="34" t="s">
        <v>17</v>
      </c>
      <c r="C8" s="34" t="s">
        <v>18</v>
      </c>
      <c r="D8" s="34" t="s">
        <v>19</v>
      </c>
      <c r="E8" s="34" t="s">
        <v>20</v>
      </c>
      <c r="F8" s="34" t="s">
        <v>21</v>
      </c>
      <c r="G8" s="34" t="s">
        <v>22</v>
      </c>
      <c r="H8" s="34" t="s">
        <v>23</v>
      </c>
      <c r="I8" s="34" t="s">
        <v>24</v>
      </c>
      <c r="J8" s="34" t="s">
        <v>25</v>
      </c>
      <c r="K8" s="34" t="s">
        <v>26</v>
      </c>
      <c r="L8" s="34" t="s">
        <v>27</v>
      </c>
      <c r="M8" s="34" t="s">
        <v>28</v>
      </c>
      <c r="N8" s="34" t="s">
        <v>29</v>
      </c>
      <c r="O8" s="34" t="s">
        <v>30</v>
      </c>
      <c r="P8" s="34" t="s">
        <v>31</v>
      </c>
    </row>
    <row r="9" spans="1:17" s="29" customFormat="1" ht="24.75" thickTop="1" thickBot="1">
      <c r="A9" s="34" t="s">
        <v>6</v>
      </c>
      <c r="B9" s="30">
        <f>IF('INTERACTION-PAGE'!E145="","",'INTERACTION-PAGE'!E145)</f>
        <v>2</v>
      </c>
      <c r="C9" s="30">
        <f>IF('INTERACTION-PAGE'!F145="","",'INTERACTION-PAGE'!F145)</f>
        <v>2</v>
      </c>
      <c r="D9" s="30" t="str">
        <f>IF('INTERACTION-PAGE'!G145="","",'INTERACTION-PAGE'!G145)</f>
        <v/>
      </c>
      <c r="E9" s="30" t="str">
        <f>IF('INTERACTION-PAGE'!H145="","",'INTERACTION-PAGE'!H145)</f>
        <v/>
      </c>
      <c r="F9" s="30">
        <f>IF('INTERACTION-PAGE'!I145="","",'INTERACTION-PAGE'!I145)</f>
        <v>1</v>
      </c>
      <c r="G9" s="30" t="str">
        <f>IF('INTERACTION-PAGE'!J145="","",'INTERACTION-PAGE'!J145)</f>
        <v/>
      </c>
      <c r="H9" s="30" t="str">
        <f>IF('INTERACTION-PAGE'!K145="","",'INTERACTION-PAGE'!K145)</f>
        <v/>
      </c>
      <c r="I9" s="30" t="str">
        <f>IF('INTERACTION-PAGE'!L145="","",'INTERACTION-PAGE'!L145)</f>
        <v/>
      </c>
      <c r="J9" s="30" t="str">
        <f>IF('INTERACTION-PAGE'!M145="","",'INTERACTION-PAGE'!M145)</f>
        <v/>
      </c>
      <c r="K9" s="30" t="str">
        <f>IF('INTERACTION-PAGE'!N145="","",'INTERACTION-PAGE'!N145)</f>
        <v/>
      </c>
      <c r="L9" s="30">
        <f>IF('INTERACTION-PAGE'!O145="","",'INTERACTION-PAGE'!O145)</f>
        <v>1</v>
      </c>
      <c r="M9" s="30">
        <f>IF('INTERACTION-PAGE'!P145="","",'INTERACTION-PAGE'!P145)</f>
        <v>1</v>
      </c>
      <c r="N9" s="30">
        <f>IF('INTERACTION-PAGE'!Q145="","",'INTERACTION-PAGE'!Q145)</f>
        <v>1</v>
      </c>
      <c r="O9" s="30" t="str">
        <f>IF('INTERACTION-PAGE'!R145="","",'INTERACTION-PAGE'!R145)</f>
        <v/>
      </c>
      <c r="P9" s="30">
        <f>IF('INTERACTION-PAGE'!S145="","",'INTERACTION-PAGE'!S145)</f>
        <v>1</v>
      </c>
    </row>
    <row r="10" spans="1:17" s="29" customFormat="1" ht="24.75" thickTop="1" thickBot="1">
      <c r="A10" s="34" t="s">
        <v>7</v>
      </c>
      <c r="B10" s="30">
        <f>IF('INTERACTION-PAGE'!E146="","",'INTERACTION-PAGE'!E146)</f>
        <v>2</v>
      </c>
      <c r="C10" s="30">
        <f>IF('INTERACTION-PAGE'!F146="","",'INTERACTION-PAGE'!F146)</f>
        <v>3</v>
      </c>
      <c r="D10" s="30">
        <f>IF('INTERACTION-PAGE'!G146="","",'INTERACTION-PAGE'!G146)</f>
        <v>2</v>
      </c>
      <c r="E10" s="30">
        <f>IF('INTERACTION-PAGE'!H146="","",'INTERACTION-PAGE'!H146)</f>
        <v>1</v>
      </c>
      <c r="F10" s="30">
        <f>IF('INTERACTION-PAGE'!I146="","",'INTERACTION-PAGE'!I146)</f>
        <v>1</v>
      </c>
      <c r="G10" s="30" t="str">
        <f>IF('INTERACTION-PAGE'!J146="","",'INTERACTION-PAGE'!J146)</f>
        <v/>
      </c>
      <c r="H10" s="30" t="str">
        <f>IF('INTERACTION-PAGE'!K146="","",'INTERACTION-PAGE'!K146)</f>
        <v/>
      </c>
      <c r="I10" s="30" t="str">
        <f>IF('INTERACTION-PAGE'!L146="","",'INTERACTION-PAGE'!L146)</f>
        <v/>
      </c>
      <c r="J10" s="30" t="str">
        <f>IF('INTERACTION-PAGE'!M146="","",'INTERACTION-PAGE'!M146)</f>
        <v/>
      </c>
      <c r="K10" s="30">
        <f>IF('INTERACTION-PAGE'!N146="","",'INTERACTION-PAGE'!N146)</f>
        <v>1</v>
      </c>
      <c r="L10" s="30" t="str">
        <f>IF('INTERACTION-PAGE'!O146="","",'INTERACTION-PAGE'!O146)</f>
        <v/>
      </c>
      <c r="M10" s="30">
        <f>IF('INTERACTION-PAGE'!P146="","",'INTERACTION-PAGE'!P146)</f>
        <v>1</v>
      </c>
      <c r="N10" s="30">
        <f>IF('INTERACTION-PAGE'!Q146="","",'INTERACTION-PAGE'!Q146)</f>
        <v>1</v>
      </c>
      <c r="O10" s="30" t="str">
        <f>IF('INTERACTION-PAGE'!R146="","",'INTERACTION-PAGE'!R146)</f>
        <v/>
      </c>
      <c r="P10" s="30">
        <f>IF('INTERACTION-PAGE'!S146="","",'INTERACTION-PAGE'!S146)</f>
        <v>1</v>
      </c>
    </row>
    <row r="11" spans="1:17" s="29" customFormat="1" ht="24.75" thickTop="1" thickBot="1">
      <c r="A11" s="34" t="s">
        <v>8</v>
      </c>
      <c r="B11" s="30">
        <f>IF('INTERACTION-PAGE'!E147="","",'INTERACTION-PAGE'!E147)</f>
        <v>1</v>
      </c>
      <c r="C11" s="30">
        <f>IF('INTERACTION-PAGE'!F147="","",'INTERACTION-PAGE'!F147)</f>
        <v>1</v>
      </c>
      <c r="D11" s="30">
        <f>IF('INTERACTION-PAGE'!G147="","",'INTERACTION-PAGE'!G147)</f>
        <v>2</v>
      </c>
      <c r="E11" s="30" t="str">
        <f>IF('INTERACTION-PAGE'!H147="","",'INTERACTION-PAGE'!H147)</f>
        <v/>
      </c>
      <c r="F11" s="30">
        <f>IF('INTERACTION-PAGE'!I147="","",'INTERACTION-PAGE'!I147)</f>
        <v>1</v>
      </c>
      <c r="G11" s="30">
        <f>IF('INTERACTION-PAGE'!J147="","",'INTERACTION-PAGE'!J147)</f>
        <v>1</v>
      </c>
      <c r="H11" s="30" t="str">
        <f>IF('INTERACTION-PAGE'!K147="","",'INTERACTION-PAGE'!K147)</f>
        <v/>
      </c>
      <c r="I11" s="30">
        <f>IF('INTERACTION-PAGE'!L147="","",'INTERACTION-PAGE'!L147)</f>
        <v>1</v>
      </c>
      <c r="J11" s="30" t="str">
        <f>IF('INTERACTION-PAGE'!M147="","",'INTERACTION-PAGE'!M147)</f>
        <v/>
      </c>
      <c r="K11" s="30" t="str">
        <f>IF('INTERACTION-PAGE'!N147="","",'INTERACTION-PAGE'!N147)</f>
        <v/>
      </c>
      <c r="L11" s="30" t="str">
        <f>IF('INTERACTION-PAGE'!O147="","",'INTERACTION-PAGE'!O147)</f>
        <v/>
      </c>
      <c r="M11" s="30">
        <f>IF('INTERACTION-PAGE'!P147="","",'INTERACTION-PAGE'!P147)</f>
        <v>1</v>
      </c>
      <c r="N11" s="30">
        <f>IF('INTERACTION-PAGE'!Q147="","",'INTERACTION-PAGE'!Q147)</f>
        <v>2</v>
      </c>
      <c r="O11" s="30">
        <f>IF('INTERACTION-PAGE'!R147="","",'INTERACTION-PAGE'!R147)</f>
        <v>1</v>
      </c>
      <c r="P11" s="30">
        <f>IF('INTERACTION-PAGE'!S147="","",'INTERACTION-PAGE'!S147)</f>
        <v>1</v>
      </c>
    </row>
    <row r="12" spans="1:17" s="29" customFormat="1" ht="24.75" thickTop="1" thickBot="1">
      <c r="A12" s="34" t="s">
        <v>9</v>
      </c>
      <c r="B12" s="30">
        <f>IF('INTERACTION-PAGE'!E148="","",'INTERACTION-PAGE'!E148)</f>
        <v>1</v>
      </c>
      <c r="C12" s="30">
        <f>IF('INTERACTION-PAGE'!F148="","",'INTERACTION-PAGE'!F148)</f>
        <v>1</v>
      </c>
      <c r="D12" s="30">
        <f>IF('INTERACTION-PAGE'!G148="","",'INTERACTION-PAGE'!G148)</f>
        <v>2</v>
      </c>
      <c r="E12" s="30">
        <f>IF('INTERACTION-PAGE'!H148="","",'INTERACTION-PAGE'!H148)</f>
        <v>1</v>
      </c>
      <c r="F12" s="30">
        <f>IF('INTERACTION-PAGE'!I148="","",'INTERACTION-PAGE'!I148)</f>
        <v>1</v>
      </c>
      <c r="G12" s="30">
        <f>IF('INTERACTION-PAGE'!J148="","",'INTERACTION-PAGE'!J148)</f>
        <v>1</v>
      </c>
      <c r="H12" s="30" t="str">
        <f>IF('INTERACTION-PAGE'!K148="","",'INTERACTION-PAGE'!K148)</f>
        <v/>
      </c>
      <c r="I12" s="30">
        <f>IF('INTERACTION-PAGE'!L148="","",'INTERACTION-PAGE'!L148)</f>
        <v>1</v>
      </c>
      <c r="J12" s="30" t="str">
        <f>IF('INTERACTION-PAGE'!M148="","",'INTERACTION-PAGE'!M148)</f>
        <v/>
      </c>
      <c r="K12" s="30">
        <f>IF('INTERACTION-PAGE'!N148="","",'INTERACTION-PAGE'!N148)</f>
        <v>1</v>
      </c>
      <c r="L12" s="30">
        <f>IF('INTERACTION-PAGE'!O148="","",'INTERACTION-PAGE'!O148)</f>
        <v>1</v>
      </c>
      <c r="M12" s="30">
        <f>IF('INTERACTION-PAGE'!P148="","",'INTERACTION-PAGE'!P148)</f>
        <v>1</v>
      </c>
      <c r="N12" s="30">
        <f>IF('INTERACTION-PAGE'!Q148="","",'INTERACTION-PAGE'!Q148)</f>
        <v>2</v>
      </c>
      <c r="O12" s="30">
        <f>IF('INTERACTION-PAGE'!R148="","",'INTERACTION-PAGE'!R148)</f>
        <v>1</v>
      </c>
      <c r="P12" s="30">
        <f>IF('INTERACTION-PAGE'!S148="","",'INTERACTION-PAGE'!S148)</f>
        <v>1</v>
      </c>
    </row>
    <row r="13" spans="1:17" s="29" customFormat="1" ht="24.75" thickTop="1" thickBot="1">
      <c r="A13" s="34" t="s">
        <v>10</v>
      </c>
      <c r="B13" s="30" t="str">
        <f>IF('INTERACTION-PAGE'!E149="","",'INTERACTION-PAGE'!E149)</f>
        <v/>
      </c>
      <c r="C13" s="30" t="str">
        <f>IF('INTERACTION-PAGE'!F149="","",'INTERACTION-PAGE'!F149)</f>
        <v/>
      </c>
      <c r="D13" s="30" t="str">
        <f>IF('INTERACTION-PAGE'!G149="","",'INTERACTION-PAGE'!G149)</f>
        <v/>
      </c>
      <c r="E13" s="30" t="str">
        <f>IF('INTERACTION-PAGE'!H149="","",'INTERACTION-PAGE'!H149)</f>
        <v/>
      </c>
      <c r="F13" s="30" t="str">
        <f>IF('INTERACTION-PAGE'!I149="","",'INTERACTION-PAGE'!I149)</f>
        <v/>
      </c>
      <c r="G13" s="30" t="str">
        <f>IF('INTERACTION-PAGE'!J149="","",'INTERACTION-PAGE'!J149)</f>
        <v/>
      </c>
      <c r="H13" s="30" t="str">
        <f>IF('INTERACTION-PAGE'!K149="","",'INTERACTION-PAGE'!K149)</f>
        <v/>
      </c>
      <c r="I13" s="30" t="str">
        <f>IF('INTERACTION-PAGE'!L149="","",'INTERACTION-PAGE'!L149)</f>
        <v/>
      </c>
      <c r="J13" s="30" t="str">
        <f>IF('INTERACTION-PAGE'!M149="","",'INTERACTION-PAGE'!M149)</f>
        <v/>
      </c>
      <c r="K13" s="30" t="str">
        <f>IF('INTERACTION-PAGE'!N149="","",'INTERACTION-PAGE'!N149)</f>
        <v/>
      </c>
      <c r="L13" s="30" t="str">
        <f>IF('INTERACTION-PAGE'!O149="","",'INTERACTION-PAGE'!O149)</f>
        <v/>
      </c>
      <c r="M13" s="30" t="str">
        <f>IF('INTERACTION-PAGE'!P149="","",'INTERACTION-PAGE'!P149)</f>
        <v/>
      </c>
      <c r="N13" s="30" t="str">
        <f>IF('INTERACTION-PAGE'!Q149="","",'INTERACTION-PAGE'!Q149)</f>
        <v/>
      </c>
      <c r="O13" s="30" t="str">
        <f>IF('INTERACTION-PAGE'!R149="","",'INTERACTION-PAGE'!R149)</f>
        <v/>
      </c>
      <c r="P13" s="30" t="str">
        <f>IF('INTERACTION-PAGE'!S149="","",'INTERACTION-PAGE'!S149)</f>
        <v/>
      </c>
    </row>
    <row r="14" spans="1:17" s="29" customFormat="1" ht="24.75" thickTop="1" thickBot="1">
      <c r="A14" s="40" t="s">
        <v>40</v>
      </c>
      <c r="B14" s="31">
        <f>IFERROR(SUMIF(B9:B13,"&gt;0"),"")</f>
        <v>6</v>
      </c>
      <c r="C14" s="31">
        <f t="shared" ref="C14:P14" si="0">IFERROR(SUMIF(C9:C13,"&gt;0"),"")</f>
        <v>7</v>
      </c>
      <c r="D14" s="31">
        <f t="shared" si="0"/>
        <v>6</v>
      </c>
      <c r="E14" s="31">
        <f t="shared" si="0"/>
        <v>2</v>
      </c>
      <c r="F14" s="31">
        <f t="shared" si="0"/>
        <v>4</v>
      </c>
      <c r="G14" s="31">
        <f t="shared" si="0"/>
        <v>2</v>
      </c>
      <c r="H14" s="31">
        <f t="shared" si="0"/>
        <v>0</v>
      </c>
      <c r="I14" s="31">
        <f t="shared" si="0"/>
        <v>2</v>
      </c>
      <c r="J14" s="31">
        <f t="shared" si="0"/>
        <v>0</v>
      </c>
      <c r="K14" s="31">
        <f t="shared" si="0"/>
        <v>2</v>
      </c>
      <c r="L14" s="31">
        <f t="shared" si="0"/>
        <v>2</v>
      </c>
      <c r="M14" s="31">
        <f t="shared" si="0"/>
        <v>4</v>
      </c>
      <c r="N14" s="31">
        <f t="shared" si="0"/>
        <v>6</v>
      </c>
      <c r="O14" s="31">
        <f t="shared" si="0"/>
        <v>2</v>
      </c>
      <c r="P14" s="31">
        <f t="shared" si="0"/>
        <v>4</v>
      </c>
      <c r="Q14" s="32"/>
    </row>
    <row r="15" spans="1:17" ht="15.75" thickTop="1"/>
    <row r="16" spans="1:17">
      <c r="Q16" s="32"/>
    </row>
    <row r="17" spans="1:18" ht="19.5" thickBot="1">
      <c r="A17" s="291" t="s">
        <v>68</v>
      </c>
      <c r="B17" s="291"/>
      <c r="C17" s="291"/>
      <c r="D17" s="291"/>
      <c r="E17" s="291"/>
      <c r="F17" s="291"/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33"/>
    </row>
    <row r="18" spans="1:18" s="29" customFormat="1" ht="24.75" thickTop="1" thickBot="1">
      <c r="A18" s="34"/>
      <c r="B18" s="34" t="s">
        <v>17</v>
      </c>
      <c r="C18" s="34" t="s">
        <v>18</v>
      </c>
      <c r="D18" s="34" t="s">
        <v>19</v>
      </c>
      <c r="E18" s="34" t="s">
        <v>20</v>
      </c>
      <c r="F18" s="34" t="s">
        <v>21</v>
      </c>
      <c r="G18" s="34" t="s">
        <v>22</v>
      </c>
      <c r="H18" s="34" t="s">
        <v>23</v>
      </c>
      <c r="I18" s="34" t="s">
        <v>24</v>
      </c>
      <c r="J18" s="34" t="s">
        <v>25</v>
      </c>
      <c r="K18" s="34" t="s">
        <v>26</v>
      </c>
      <c r="L18" s="34" t="s">
        <v>27</v>
      </c>
      <c r="M18" s="34" t="s">
        <v>28</v>
      </c>
      <c r="N18" s="34" t="s">
        <v>29</v>
      </c>
      <c r="O18" s="34" t="s">
        <v>30</v>
      </c>
      <c r="P18" s="34" t="s">
        <v>31</v>
      </c>
      <c r="Q18" s="35" t="s">
        <v>53</v>
      </c>
      <c r="R18" s="35" t="s">
        <v>53</v>
      </c>
    </row>
    <row r="19" spans="1:18" s="29" customFormat="1" ht="24.75" thickTop="1" thickBot="1">
      <c r="A19" s="34" t="s">
        <v>6</v>
      </c>
      <c r="B19" s="36">
        <f>IFERROR(IF(OR(B9="",B9&lt;=0,B9="-",B9="_",$Q$19=""),"",B9*$Q$19),)</f>
        <v>2</v>
      </c>
      <c r="C19" s="36">
        <f t="shared" ref="C19:P19" si="1">IFERROR(IF(OR(C9="",C9&lt;=0,C9="-",C9="_",$Q$19=""),"",C9*$Q$19),)</f>
        <v>2</v>
      </c>
      <c r="D19" s="36" t="str">
        <f t="shared" si="1"/>
        <v/>
      </c>
      <c r="E19" s="36" t="str">
        <f t="shared" si="1"/>
        <v/>
      </c>
      <c r="F19" s="36">
        <f t="shared" si="1"/>
        <v>1</v>
      </c>
      <c r="G19" s="36" t="str">
        <f t="shared" si="1"/>
        <v/>
      </c>
      <c r="H19" s="36" t="str">
        <f t="shared" si="1"/>
        <v/>
      </c>
      <c r="I19" s="36" t="str">
        <f t="shared" si="1"/>
        <v/>
      </c>
      <c r="J19" s="36" t="str">
        <f t="shared" si="1"/>
        <v/>
      </c>
      <c r="K19" s="36" t="str">
        <f t="shared" si="1"/>
        <v/>
      </c>
      <c r="L19" s="36">
        <f t="shared" si="1"/>
        <v>1</v>
      </c>
      <c r="M19" s="36">
        <f t="shared" si="1"/>
        <v>1</v>
      </c>
      <c r="N19" s="36">
        <f t="shared" si="1"/>
        <v>1</v>
      </c>
      <c r="O19" s="36" t="str">
        <f t="shared" si="1"/>
        <v/>
      </c>
      <c r="P19" s="36">
        <f t="shared" si="1"/>
        <v>1</v>
      </c>
      <c r="Q19" s="37">
        <f>IFERROR(CO_ATTAINMENT!Z136/3,"")</f>
        <v>1</v>
      </c>
      <c r="R19" s="32">
        <f>CO_ATTAINMENT!Z136</f>
        <v>3</v>
      </c>
    </row>
    <row r="20" spans="1:18" s="29" customFormat="1" ht="24.75" thickTop="1" thickBot="1">
      <c r="A20" s="34" t="s">
        <v>7</v>
      </c>
      <c r="B20" s="36">
        <f>IFERROR(IF(OR(B10="",B10&lt;=0,B10="-",B10="_",$Q$20=""),"",B10*$Q$20),)</f>
        <v>0</v>
      </c>
      <c r="C20" s="36">
        <f t="shared" ref="C20:P20" si="2">IFERROR(IF(OR(C10="",C10&lt;=0,C10="-",C10="_",$Q$20=""),"",C10*$Q$20),)</f>
        <v>0</v>
      </c>
      <c r="D20" s="36">
        <f t="shared" si="2"/>
        <v>0</v>
      </c>
      <c r="E20" s="36">
        <f t="shared" si="2"/>
        <v>0</v>
      </c>
      <c r="F20" s="36">
        <f t="shared" si="2"/>
        <v>0</v>
      </c>
      <c r="G20" s="36" t="str">
        <f t="shared" si="2"/>
        <v/>
      </c>
      <c r="H20" s="36" t="str">
        <f t="shared" si="2"/>
        <v/>
      </c>
      <c r="I20" s="36" t="str">
        <f t="shared" si="2"/>
        <v/>
      </c>
      <c r="J20" s="36" t="str">
        <f t="shared" si="2"/>
        <v/>
      </c>
      <c r="K20" s="36">
        <f t="shared" si="2"/>
        <v>0</v>
      </c>
      <c r="L20" s="36" t="str">
        <f t="shared" si="2"/>
        <v/>
      </c>
      <c r="M20" s="36">
        <f t="shared" si="2"/>
        <v>0</v>
      </c>
      <c r="N20" s="36">
        <f t="shared" si="2"/>
        <v>0</v>
      </c>
      <c r="O20" s="36" t="str">
        <f t="shared" si="2"/>
        <v/>
      </c>
      <c r="P20" s="36">
        <f t="shared" si="2"/>
        <v>0</v>
      </c>
      <c r="Q20" s="37">
        <f>IFERROR(CO_ATTAINMENT!AA136/3,"")</f>
        <v>0</v>
      </c>
      <c r="R20" s="32">
        <f>CO_ATTAINMENT!AA136</f>
        <v>0</v>
      </c>
    </row>
    <row r="21" spans="1:18" s="29" customFormat="1" ht="24.75" thickTop="1" thickBot="1">
      <c r="A21" s="34" t="s">
        <v>8</v>
      </c>
      <c r="B21" s="36">
        <f>IFERROR(IF(OR(B11="",B11&lt;=0,B11="-",B11="_",$Q$21=""),"",B11*$Q$21),)</f>
        <v>0</v>
      </c>
      <c r="C21" s="36">
        <f t="shared" ref="C21:P21" si="3">IFERROR(IF(OR(C11="",C11&lt;=0,C11="-",C11="_",$Q$21=""),"",C11*$Q$21),)</f>
        <v>0</v>
      </c>
      <c r="D21" s="36">
        <f t="shared" si="3"/>
        <v>0</v>
      </c>
      <c r="E21" s="36" t="str">
        <f t="shared" si="3"/>
        <v/>
      </c>
      <c r="F21" s="36">
        <f t="shared" si="3"/>
        <v>0</v>
      </c>
      <c r="G21" s="36">
        <f t="shared" si="3"/>
        <v>0</v>
      </c>
      <c r="H21" s="36" t="str">
        <f t="shared" si="3"/>
        <v/>
      </c>
      <c r="I21" s="36">
        <f t="shared" si="3"/>
        <v>0</v>
      </c>
      <c r="J21" s="36" t="str">
        <f t="shared" si="3"/>
        <v/>
      </c>
      <c r="K21" s="36" t="str">
        <f t="shared" si="3"/>
        <v/>
      </c>
      <c r="L21" s="36" t="str">
        <f t="shared" si="3"/>
        <v/>
      </c>
      <c r="M21" s="36">
        <f t="shared" si="3"/>
        <v>0</v>
      </c>
      <c r="N21" s="36">
        <f t="shared" si="3"/>
        <v>0</v>
      </c>
      <c r="O21" s="36">
        <f t="shared" si="3"/>
        <v>0</v>
      </c>
      <c r="P21" s="36">
        <f t="shared" si="3"/>
        <v>0</v>
      </c>
      <c r="Q21" s="37">
        <f>IFERROR(CO_ATTAINMENT!AB136/3,"")</f>
        <v>0</v>
      </c>
      <c r="R21" s="32">
        <f>CO_ATTAINMENT!AB136</f>
        <v>0</v>
      </c>
    </row>
    <row r="22" spans="1:18" s="29" customFormat="1" ht="24.75" thickTop="1" thickBot="1">
      <c r="A22" s="34" t="s">
        <v>9</v>
      </c>
      <c r="B22" s="36">
        <f>IFERROR(IF(OR(B12="",B12&lt;=0,B12="-",B12="_",$Q$22=""),"",B12*$Q$22),)</f>
        <v>0</v>
      </c>
      <c r="C22" s="36">
        <f t="shared" ref="C22:P22" si="4">IFERROR(IF(OR(C12="",C12&lt;=0,C12="-",C12="_",$Q$22=""),"",C12*$Q$22),)</f>
        <v>0</v>
      </c>
      <c r="D22" s="36">
        <f t="shared" si="4"/>
        <v>0</v>
      </c>
      <c r="E22" s="36">
        <f t="shared" si="4"/>
        <v>0</v>
      </c>
      <c r="F22" s="36">
        <f t="shared" si="4"/>
        <v>0</v>
      </c>
      <c r="G22" s="36">
        <f t="shared" si="4"/>
        <v>0</v>
      </c>
      <c r="H22" s="36" t="str">
        <f t="shared" si="4"/>
        <v/>
      </c>
      <c r="I22" s="36">
        <f t="shared" si="4"/>
        <v>0</v>
      </c>
      <c r="J22" s="36" t="str">
        <f t="shared" si="4"/>
        <v/>
      </c>
      <c r="K22" s="36">
        <f t="shared" si="4"/>
        <v>0</v>
      </c>
      <c r="L22" s="36">
        <f t="shared" si="4"/>
        <v>0</v>
      </c>
      <c r="M22" s="36">
        <f t="shared" si="4"/>
        <v>0</v>
      </c>
      <c r="N22" s="36">
        <f t="shared" si="4"/>
        <v>0</v>
      </c>
      <c r="O22" s="36">
        <f t="shared" si="4"/>
        <v>0</v>
      </c>
      <c r="P22" s="36">
        <f t="shared" si="4"/>
        <v>0</v>
      </c>
      <c r="Q22" s="37">
        <f>IFERROR(CO_ATTAINMENT!AC136/3,"")</f>
        <v>0</v>
      </c>
      <c r="R22" s="32">
        <f>CO_ATTAINMENT!AC136</f>
        <v>0</v>
      </c>
    </row>
    <row r="23" spans="1:18" s="29" customFormat="1" ht="24.75" thickTop="1" thickBot="1">
      <c r="A23" s="34" t="s">
        <v>10</v>
      </c>
      <c r="B23" s="36" t="str">
        <f>IFERROR(IF(OR(B13="",B13&lt;=0,B13="-",B13="_",$Q$23=""),"",B13*$Q$23),)</f>
        <v/>
      </c>
      <c r="C23" s="36" t="str">
        <f t="shared" ref="C23:P23" si="5">IFERROR(IF(OR(C13="",C13&lt;=0,C13="-",C13="_",$Q$23=""),"",C13*$Q$23),)</f>
        <v/>
      </c>
      <c r="D23" s="36" t="str">
        <f t="shared" si="5"/>
        <v/>
      </c>
      <c r="E23" s="36" t="str">
        <f t="shared" si="5"/>
        <v/>
      </c>
      <c r="F23" s="36" t="str">
        <f t="shared" si="5"/>
        <v/>
      </c>
      <c r="G23" s="36" t="str">
        <f t="shared" si="5"/>
        <v/>
      </c>
      <c r="H23" s="36" t="str">
        <f t="shared" si="5"/>
        <v/>
      </c>
      <c r="I23" s="36" t="str">
        <f t="shared" si="5"/>
        <v/>
      </c>
      <c r="J23" s="36" t="str">
        <f t="shared" si="5"/>
        <v/>
      </c>
      <c r="K23" s="36" t="str">
        <f t="shared" si="5"/>
        <v/>
      </c>
      <c r="L23" s="36" t="str">
        <f t="shared" si="5"/>
        <v/>
      </c>
      <c r="M23" s="36" t="str">
        <f t="shared" si="5"/>
        <v/>
      </c>
      <c r="N23" s="36" t="str">
        <f t="shared" si="5"/>
        <v/>
      </c>
      <c r="O23" s="36" t="str">
        <f t="shared" si="5"/>
        <v/>
      </c>
      <c r="P23" s="36" t="str">
        <f t="shared" si="5"/>
        <v/>
      </c>
      <c r="Q23" s="37" t="str">
        <f>IFERROR(CO_ATTAINMENT!AD136/3,"")</f>
        <v/>
      </c>
      <c r="R23" s="32" t="str">
        <f>CO_ATTAINMENT!AD136</f>
        <v/>
      </c>
    </row>
    <row r="24" spans="1:18" s="29" customFormat="1" ht="24.75" thickTop="1" thickBot="1">
      <c r="A24" s="38" t="s">
        <v>32</v>
      </c>
      <c r="B24" s="1">
        <f>IFERROR(AVERAGE(B19:B23),"")</f>
        <v>0.5</v>
      </c>
      <c r="C24" s="1">
        <f t="shared" ref="C24:P24" si="6">IFERROR(AVERAGE(C19:C23),"")</f>
        <v>0.5</v>
      </c>
      <c r="D24" s="1">
        <f t="shared" si="6"/>
        <v>0</v>
      </c>
      <c r="E24" s="1">
        <f t="shared" si="6"/>
        <v>0</v>
      </c>
      <c r="F24" s="1">
        <f t="shared" si="6"/>
        <v>0.25</v>
      </c>
      <c r="G24" s="1">
        <f t="shared" si="6"/>
        <v>0</v>
      </c>
      <c r="H24" s="1" t="str">
        <f t="shared" si="6"/>
        <v/>
      </c>
      <c r="I24" s="1">
        <f t="shared" si="6"/>
        <v>0</v>
      </c>
      <c r="J24" s="1" t="str">
        <f t="shared" si="6"/>
        <v/>
      </c>
      <c r="K24" s="1">
        <f t="shared" si="6"/>
        <v>0</v>
      </c>
      <c r="L24" s="1">
        <f t="shared" si="6"/>
        <v>0.5</v>
      </c>
      <c r="M24" s="1">
        <f t="shared" si="6"/>
        <v>0.25</v>
      </c>
      <c r="N24" s="1">
        <f t="shared" si="6"/>
        <v>0.25</v>
      </c>
      <c r="O24" s="1">
        <f t="shared" si="6"/>
        <v>0</v>
      </c>
      <c r="P24" s="1">
        <f t="shared" si="6"/>
        <v>0.25</v>
      </c>
      <c r="Q24" s="39"/>
    </row>
    <row r="25" spans="1:18" ht="16.5" thickTop="1" thickBot="1">
      <c r="Q25" s="33"/>
    </row>
    <row r="26" spans="1:18" ht="24.75" thickTop="1" thickBot="1">
      <c r="J26" s="292" t="s">
        <v>66</v>
      </c>
      <c r="K26" s="293"/>
      <c r="L26" s="293"/>
      <c r="M26" s="293"/>
      <c r="N26" s="293"/>
      <c r="O26" s="294"/>
      <c r="P26" s="1">
        <f>IFERROR(AVERAGEIF(B24:P24,"&gt;0"),"")</f>
        <v>0.35714285714285715</v>
      </c>
      <c r="Q26" s="33"/>
    </row>
    <row r="27" spans="1:18" ht="20.25" thickTop="1" thickBot="1">
      <c r="A27" s="291" t="s">
        <v>69</v>
      </c>
      <c r="B27" s="291"/>
      <c r="C27" s="291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33"/>
    </row>
    <row r="28" spans="1:18" s="29" customFormat="1" ht="24.75" thickTop="1" thickBot="1">
      <c r="A28" s="34"/>
      <c r="B28" s="34" t="s">
        <v>17</v>
      </c>
      <c r="C28" s="34" t="s">
        <v>18</v>
      </c>
      <c r="D28" s="34" t="s">
        <v>19</v>
      </c>
      <c r="E28" s="34" t="s">
        <v>20</v>
      </c>
      <c r="F28" s="34" t="s">
        <v>21</v>
      </c>
      <c r="G28" s="34" t="s">
        <v>22</v>
      </c>
      <c r="H28" s="34" t="s">
        <v>23</v>
      </c>
      <c r="I28" s="34" t="s">
        <v>24</v>
      </c>
      <c r="J28" s="34" t="s">
        <v>25</v>
      </c>
      <c r="K28" s="34" t="s">
        <v>26</v>
      </c>
      <c r="L28" s="34" t="s">
        <v>27</v>
      </c>
      <c r="M28" s="34" t="s">
        <v>28</v>
      </c>
      <c r="N28" s="34" t="s">
        <v>29</v>
      </c>
      <c r="O28" s="34" t="s">
        <v>30</v>
      </c>
      <c r="P28" s="34" t="s">
        <v>31</v>
      </c>
      <c r="Q28" s="35" t="s">
        <v>53</v>
      </c>
      <c r="R28" s="35" t="s">
        <v>53</v>
      </c>
    </row>
    <row r="29" spans="1:18" s="29" customFormat="1" ht="24.75" thickTop="1" thickBot="1">
      <c r="A29" s="34" t="s">
        <v>6</v>
      </c>
      <c r="B29" s="36">
        <f t="shared" ref="B29:P29" si="7">IFERROR(IF(OR(B9="",B9&lt;=0,B9="-",B9="_",$Q$29=""),"",B9*$Q$29),)</f>
        <v>143.2407407407407</v>
      </c>
      <c r="C29" s="36">
        <f t="shared" si="7"/>
        <v>143.2407407407407</v>
      </c>
      <c r="D29" s="36" t="str">
        <f t="shared" si="7"/>
        <v/>
      </c>
      <c r="E29" s="36" t="str">
        <f t="shared" si="7"/>
        <v/>
      </c>
      <c r="F29" s="36">
        <f t="shared" si="7"/>
        <v>71.620370370370352</v>
      </c>
      <c r="G29" s="36" t="str">
        <f t="shared" si="7"/>
        <v/>
      </c>
      <c r="H29" s="36" t="str">
        <f t="shared" si="7"/>
        <v/>
      </c>
      <c r="I29" s="36" t="str">
        <f t="shared" si="7"/>
        <v/>
      </c>
      <c r="J29" s="36" t="str">
        <f t="shared" si="7"/>
        <v/>
      </c>
      <c r="K29" s="36" t="str">
        <f t="shared" si="7"/>
        <v/>
      </c>
      <c r="L29" s="36">
        <f t="shared" si="7"/>
        <v>71.620370370370352</v>
      </c>
      <c r="M29" s="36">
        <f t="shared" si="7"/>
        <v>71.620370370370352</v>
      </c>
      <c r="N29" s="36">
        <f t="shared" si="7"/>
        <v>71.620370370370352</v>
      </c>
      <c r="O29" s="36" t="str">
        <f t="shared" si="7"/>
        <v/>
      </c>
      <c r="P29" s="36">
        <f t="shared" si="7"/>
        <v>71.620370370370352</v>
      </c>
      <c r="Q29" s="37">
        <f>R29</f>
        <v>71.620370370370352</v>
      </c>
      <c r="R29" s="32">
        <f>CO_ATTAINMENT!Z142</f>
        <v>71.620370370370352</v>
      </c>
    </row>
    <row r="30" spans="1:18" s="29" customFormat="1" ht="24.75" thickTop="1" thickBot="1">
      <c r="A30" s="34" t="s">
        <v>7</v>
      </c>
      <c r="B30" s="36">
        <f t="shared" ref="B30:P30" si="8">IFERROR(IF(OR(B10="",B10&lt;=0,B10="-",B10="_",$Q$29=""),"",B10*$Q$30),)</f>
        <v>95.462962962962976</v>
      </c>
      <c r="C30" s="36">
        <f t="shared" si="8"/>
        <v>143.19444444444446</v>
      </c>
      <c r="D30" s="36">
        <f t="shared" si="8"/>
        <v>95.462962962962976</v>
      </c>
      <c r="E30" s="36">
        <f t="shared" si="8"/>
        <v>47.731481481481488</v>
      </c>
      <c r="F30" s="36">
        <f t="shared" si="8"/>
        <v>47.731481481481488</v>
      </c>
      <c r="G30" s="36" t="str">
        <f t="shared" si="8"/>
        <v/>
      </c>
      <c r="H30" s="36" t="str">
        <f t="shared" si="8"/>
        <v/>
      </c>
      <c r="I30" s="36" t="str">
        <f t="shared" si="8"/>
        <v/>
      </c>
      <c r="J30" s="36" t="str">
        <f t="shared" si="8"/>
        <v/>
      </c>
      <c r="K30" s="36">
        <f t="shared" si="8"/>
        <v>47.731481481481488</v>
      </c>
      <c r="L30" s="36" t="str">
        <f t="shared" si="8"/>
        <v/>
      </c>
      <c r="M30" s="36">
        <f t="shared" si="8"/>
        <v>47.731481481481488</v>
      </c>
      <c r="N30" s="36">
        <f t="shared" si="8"/>
        <v>47.731481481481488</v>
      </c>
      <c r="O30" s="36" t="str">
        <f t="shared" si="8"/>
        <v/>
      </c>
      <c r="P30" s="36">
        <f t="shared" si="8"/>
        <v>47.731481481481488</v>
      </c>
      <c r="Q30" s="37">
        <f t="shared" ref="Q30:Q33" si="9">R30</f>
        <v>47.731481481481488</v>
      </c>
      <c r="R30" s="32">
        <f>CO_ATTAINMENT!AA142</f>
        <v>47.731481481481488</v>
      </c>
    </row>
    <row r="31" spans="1:18" s="29" customFormat="1" ht="24.75" thickTop="1" thickBot="1">
      <c r="A31" s="34" t="s">
        <v>8</v>
      </c>
      <c r="B31" s="36">
        <f t="shared" ref="B31:P31" si="10">IFERROR(IF(OR(B11="",B11&lt;=0,B11="-",B11="_",$Q$29=""),"",B11*$Q$31),)</f>
        <v>45.952380952380935</v>
      </c>
      <c r="C31" s="36">
        <f t="shared" si="10"/>
        <v>45.952380952380935</v>
      </c>
      <c r="D31" s="36">
        <f t="shared" si="10"/>
        <v>91.90476190476187</v>
      </c>
      <c r="E31" s="36" t="str">
        <f t="shared" si="10"/>
        <v/>
      </c>
      <c r="F31" s="36">
        <f t="shared" si="10"/>
        <v>45.952380952380935</v>
      </c>
      <c r="G31" s="36">
        <f t="shared" si="10"/>
        <v>45.952380952380935</v>
      </c>
      <c r="H31" s="36" t="str">
        <f t="shared" si="10"/>
        <v/>
      </c>
      <c r="I31" s="36">
        <f t="shared" si="10"/>
        <v>45.952380952380935</v>
      </c>
      <c r="J31" s="36" t="str">
        <f t="shared" si="10"/>
        <v/>
      </c>
      <c r="K31" s="36" t="str">
        <f t="shared" si="10"/>
        <v/>
      </c>
      <c r="L31" s="36" t="str">
        <f t="shared" si="10"/>
        <v/>
      </c>
      <c r="M31" s="36">
        <f t="shared" si="10"/>
        <v>45.952380952380935</v>
      </c>
      <c r="N31" s="36">
        <f t="shared" si="10"/>
        <v>91.90476190476187</v>
      </c>
      <c r="O31" s="36">
        <f t="shared" si="10"/>
        <v>45.952380952380935</v>
      </c>
      <c r="P31" s="36">
        <f t="shared" si="10"/>
        <v>45.952380952380935</v>
      </c>
      <c r="Q31" s="37">
        <f t="shared" si="9"/>
        <v>45.952380952380935</v>
      </c>
      <c r="R31" s="32">
        <f>CO_ATTAINMENT!AB142</f>
        <v>45.952380952380935</v>
      </c>
    </row>
    <row r="32" spans="1:18" s="29" customFormat="1" ht="24.75" thickTop="1" thickBot="1">
      <c r="A32" s="34" t="s">
        <v>9</v>
      </c>
      <c r="B32" s="36">
        <f t="shared" ref="B32:P32" si="11">IFERROR(IF(OR(B12="",B12&lt;=0,B12="-",B12="_",$Q$29=""),"",B12*$Q$32),)</f>
        <v>27.978395061728392</v>
      </c>
      <c r="C32" s="36">
        <f t="shared" si="11"/>
        <v>27.978395061728392</v>
      </c>
      <c r="D32" s="36">
        <f t="shared" si="11"/>
        <v>55.956790123456784</v>
      </c>
      <c r="E32" s="36">
        <f t="shared" si="11"/>
        <v>27.978395061728392</v>
      </c>
      <c r="F32" s="36">
        <f t="shared" si="11"/>
        <v>27.978395061728392</v>
      </c>
      <c r="G32" s="36">
        <f t="shared" si="11"/>
        <v>27.978395061728392</v>
      </c>
      <c r="H32" s="36" t="str">
        <f t="shared" si="11"/>
        <v/>
      </c>
      <c r="I32" s="36">
        <f t="shared" si="11"/>
        <v>27.978395061728392</v>
      </c>
      <c r="J32" s="36" t="str">
        <f t="shared" si="11"/>
        <v/>
      </c>
      <c r="K32" s="36">
        <f t="shared" si="11"/>
        <v>27.978395061728392</v>
      </c>
      <c r="L32" s="36">
        <f t="shared" si="11"/>
        <v>27.978395061728392</v>
      </c>
      <c r="M32" s="36">
        <f t="shared" si="11"/>
        <v>27.978395061728392</v>
      </c>
      <c r="N32" s="36">
        <f t="shared" si="11"/>
        <v>55.956790123456784</v>
      </c>
      <c r="O32" s="36">
        <f t="shared" si="11"/>
        <v>27.978395061728392</v>
      </c>
      <c r="P32" s="36">
        <f t="shared" si="11"/>
        <v>27.978395061728392</v>
      </c>
      <c r="Q32" s="37">
        <f t="shared" si="9"/>
        <v>27.978395061728392</v>
      </c>
      <c r="R32" s="32">
        <f>CO_ATTAINMENT!AC142</f>
        <v>27.978395061728392</v>
      </c>
    </row>
    <row r="33" spans="1:18" s="29" customFormat="1" ht="24.75" thickTop="1" thickBot="1">
      <c r="A33" s="34" t="s">
        <v>10</v>
      </c>
      <c r="B33" s="36" t="str">
        <f t="shared" ref="B33:P33" si="12">IFERROR(IF(OR(B23="",B23&lt;=0,B23="-",B23="_",$Q$23=""),"",B23*$Q$33),)</f>
        <v/>
      </c>
      <c r="C33" s="36" t="str">
        <f t="shared" si="12"/>
        <v/>
      </c>
      <c r="D33" s="36" t="str">
        <f t="shared" si="12"/>
        <v/>
      </c>
      <c r="E33" s="36" t="str">
        <f t="shared" si="12"/>
        <v/>
      </c>
      <c r="F33" s="36" t="str">
        <f t="shared" si="12"/>
        <v/>
      </c>
      <c r="G33" s="36" t="str">
        <f t="shared" si="12"/>
        <v/>
      </c>
      <c r="H33" s="36" t="str">
        <f t="shared" si="12"/>
        <v/>
      </c>
      <c r="I33" s="36" t="str">
        <f t="shared" si="12"/>
        <v/>
      </c>
      <c r="J33" s="36" t="str">
        <f t="shared" si="12"/>
        <v/>
      </c>
      <c r="K33" s="36" t="str">
        <f t="shared" si="12"/>
        <v/>
      </c>
      <c r="L33" s="36" t="str">
        <f t="shared" si="12"/>
        <v/>
      </c>
      <c r="M33" s="36" t="str">
        <f t="shared" si="12"/>
        <v/>
      </c>
      <c r="N33" s="36" t="str">
        <f t="shared" si="12"/>
        <v/>
      </c>
      <c r="O33" s="36" t="str">
        <f t="shared" si="12"/>
        <v/>
      </c>
      <c r="P33" s="36" t="str">
        <f t="shared" si="12"/>
        <v/>
      </c>
      <c r="Q33" s="37" t="str">
        <f t="shared" si="9"/>
        <v/>
      </c>
      <c r="R33" s="32" t="str">
        <f>CO_ATTAINMENT!AD142</f>
        <v/>
      </c>
    </row>
    <row r="34" spans="1:18" s="29" customFormat="1" ht="24.75" thickTop="1" thickBot="1">
      <c r="A34" s="38" t="s">
        <v>64</v>
      </c>
      <c r="B34" s="1">
        <f>IFERROR(SUM(B28:B33),"")</f>
        <v>312.63447971781306</v>
      </c>
      <c r="C34" s="1">
        <f t="shared" ref="C34:P34" si="13">IFERROR(SUM(C28:C33),"")</f>
        <v>360.36596119929447</v>
      </c>
      <c r="D34" s="1">
        <f t="shared" si="13"/>
        <v>243.32451499118164</v>
      </c>
      <c r="E34" s="1">
        <f t="shared" si="13"/>
        <v>75.709876543209873</v>
      </c>
      <c r="F34" s="1">
        <f t="shared" si="13"/>
        <v>193.28262786596116</v>
      </c>
      <c r="G34" s="1">
        <f t="shared" si="13"/>
        <v>73.930776014109327</v>
      </c>
      <c r="H34" s="1">
        <f t="shared" si="13"/>
        <v>0</v>
      </c>
      <c r="I34" s="1">
        <f t="shared" si="13"/>
        <v>73.930776014109327</v>
      </c>
      <c r="J34" s="1">
        <f t="shared" si="13"/>
        <v>0</v>
      </c>
      <c r="K34" s="1">
        <f t="shared" si="13"/>
        <v>75.709876543209873</v>
      </c>
      <c r="L34" s="1">
        <f t="shared" si="13"/>
        <v>99.598765432098745</v>
      </c>
      <c r="M34" s="1">
        <f t="shared" si="13"/>
        <v>193.28262786596116</v>
      </c>
      <c r="N34" s="1">
        <f t="shared" si="13"/>
        <v>267.21340388007047</v>
      </c>
      <c r="O34" s="1">
        <f t="shared" si="13"/>
        <v>73.930776014109327</v>
      </c>
      <c r="P34" s="1">
        <f t="shared" si="13"/>
        <v>193.28262786596116</v>
      </c>
      <c r="Q34" s="39"/>
    </row>
    <row r="35" spans="1:18" s="29" customFormat="1" ht="24.75" thickTop="1" thickBot="1">
      <c r="A35" s="59" t="s">
        <v>65</v>
      </c>
      <c r="B35" s="1">
        <f>IFERROR(SUM(B9:B13),"")</f>
        <v>6</v>
      </c>
      <c r="C35" s="1">
        <f t="shared" ref="C35:P35" si="14">IFERROR(SUM(C9:C13),"")</f>
        <v>7</v>
      </c>
      <c r="D35" s="1">
        <f t="shared" si="14"/>
        <v>6</v>
      </c>
      <c r="E35" s="1">
        <f t="shared" si="14"/>
        <v>2</v>
      </c>
      <c r="F35" s="1">
        <f t="shared" si="14"/>
        <v>4</v>
      </c>
      <c r="G35" s="1">
        <f t="shared" si="14"/>
        <v>2</v>
      </c>
      <c r="H35" s="1">
        <f t="shared" si="14"/>
        <v>0</v>
      </c>
      <c r="I35" s="1">
        <f t="shared" si="14"/>
        <v>2</v>
      </c>
      <c r="J35" s="1">
        <f t="shared" si="14"/>
        <v>0</v>
      </c>
      <c r="K35" s="1">
        <f t="shared" si="14"/>
        <v>2</v>
      </c>
      <c r="L35" s="1">
        <f t="shared" si="14"/>
        <v>2</v>
      </c>
      <c r="M35" s="1">
        <f t="shared" si="14"/>
        <v>4</v>
      </c>
      <c r="N35" s="1">
        <f t="shared" si="14"/>
        <v>6</v>
      </c>
      <c r="O35" s="1">
        <f t="shared" si="14"/>
        <v>2</v>
      </c>
      <c r="P35" s="1">
        <f t="shared" si="14"/>
        <v>4</v>
      </c>
      <c r="Q35" s="39"/>
    </row>
    <row r="36" spans="1:18" s="29" customFormat="1" ht="24" thickTop="1">
      <c r="A36" s="59" t="s">
        <v>32</v>
      </c>
      <c r="B36" s="60">
        <f>IF(B34="","",IFERROR((B$34/B$35),""))</f>
        <v>52.105746619635511</v>
      </c>
      <c r="C36" s="60">
        <f t="shared" ref="C36:P36" si="15">IF(C34="","",IFERROR((C$34/C$35),""))</f>
        <v>51.480851599899211</v>
      </c>
      <c r="D36" s="60">
        <f t="shared" si="15"/>
        <v>40.55408583186361</v>
      </c>
      <c r="E36" s="60">
        <f t="shared" si="15"/>
        <v>37.854938271604937</v>
      </c>
      <c r="F36" s="60">
        <f t="shared" si="15"/>
        <v>48.32065696649029</v>
      </c>
      <c r="G36" s="60">
        <f t="shared" si="15"/>
        <v>36.965388007054663</v>
      </c>
      <c r="H36" s="60" t="str">
        <f t="shared" si="15"/>
        <v/>
      </c>
      <c r="I36" s="60">
        <f t="shared" si="15"/>
        <v>36.965388007054663</v>
      </c>
      <c r="J36" s="60" t="str">
        <f t="shared" si="15"/>
        <v/>
      </c>
      <c r="K36" s="60">
        <f t="shared" si="15"/>
        <v>37.854938271604937</v>
      </c>
      <c r="L36" s="60">
        <f t="shared" si="15"/>
        <v>49.799382716049372</v>
      </c>
      <c r="M36" s="60">
        <f t="shared" si="15"/>
        <v>48.32065696649029</v>
      </c>
      <c r="N36" s="60">
        <f t="shared" si="15"/>
        <v>44.535567313345076</v>
      </c>
      <c r="O36" s="60">
        <f t="shared" si="15"/>
        <v>36.965388007054663</v>
      </c>
      <c r="P36" s="60">
        <f t="shared" si="15"/>
        <v>48.32065696649029</v>
      </c>
      <c r="Q36" s="39"/>
    </row>
    <row r="37" spans="1:18" ht="15.75" thickBot="1"/>
    <row r="38" spans="1:18" ht="24.75" thickTop="1" thickBot="1">
      <c r="J38" s="292" t="s">
        <v>67</v>
      </c>
      <c r="K38" s="293"/>
      <c r="L38" s="293"/>
      <c r="M38" s="293"/>
      <c r="N38" s="293"/>
      <c r="O38" s="294"/>
      <c r="P38" s="1">
        <f>IFERROR(AVERAGEIF(B36:P36,"&gt;0"),"")</f>
        <v>43.84951119574135</v>
      </c>
    </row>
    <row r="39" spans="1:18" ht="15.75" thickTop="1"/>
  </sheetData>
  <sheetProtection selectLockedCells="1" selectUnlockedCells="1"/>
  <protectedRanges>
    <protectedRange sqref="B9:P13" name="Range1"/>
  </protectedRanges>
  <mergeCells count="23">
    <mergeCell ref="A17:P17"/>
    <mergeCell ref="A27:P27"/>
    <mergeCell ref="J26:O26"/>
    <mergeCell ref="J38:O38"/>
    <mergeCell ref="A3:B3"/>
    <mergeCell ref="A4:B4"/>
    <mergeCell ref="A5:B5"/>
    <mergeCell ref="C3:L3"/>
    <mergeCell ref="M3:N3"/>
    <mergeCell ref="O3:P3"/>
    <mergeCell ref="C4:F4"/>
    <mergeCell ref="G4:H4"/>
    <mergeCell ref="I4:L4"/>
    <mergeCell ref="M4:N4"/>
    <mergeCell ref="O4:P4"/>
    <mergeCell ref="C5:K5"/>
    <mergeCell ref="A6:P6"/>
    <mergeCell ref="A7:P7"/>
    <mergeCell ref="L5:N5"/>
    <mergeCell ref="O5:P5"/>
    <mergeCell ref="A1:P1"/>
    <mergeCell ref="A2:E2"/>
    <mergeCell ref="F2:P2"/>
  </mergeCells>
  <dataValidations count="1">
    <dataValidation allowBlank="1" showInputMessage="1" showErrorMessage="1" error="PLEASE INSERT CORRECT VALUE" sqref="B9:P13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INTERACTION-PAGE</vt:lpstr>
      <vt:lpstr>CO_ATTAINMENT</vt:lpstr>
      <vt:lpstr>PO_ATTAINMENT</vt:lpstr>
      <vt:lpstr>CO_ATTAINMENT!Print_Area</vt:lpstr>
      <vt:lpstr>'INTERACTION-PAGE'!Print_Area</vt:lpstr>
      <vt:lpstr>CO_ATTAINMENT!Print_Titles</vt:lpstr>
      <vt:lpstr>'INTERACTION-PAGE'!Print_Titles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</dc:creator>
  <cp:lastModifiedBy>SSS</cp:lastModifiedBy>
  <cp:lastPrinted>2018-09-30T03:49:19Z</cp:lastPrinted>
  <dcterms:created xsi:type="dcterms:W3CDTF">2018-05-30T04:25:52Z</dcterms:created>
  <dcterms:modified xsi:type="dcterms:W3CDTF">2025-07-30T15:26:37Z</dcterms:modified>
</cp:coreProperties>
</file>